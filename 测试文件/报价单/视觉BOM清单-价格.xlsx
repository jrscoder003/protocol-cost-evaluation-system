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1"/>
  </bookViews>
  <sheets>
    <sheet name="sheet1" sheetId="1" r:id="rId1"/>
    <sheet name="sheet1 (2)" sheetId="3" r:id="rId2"/>
  </sheets>
  <definedNames>
    <definedName name="_xlnm._FilterDatabase" localSheetId="0" hidden="1">sheet1!$A$4:$U$49</definedName>
    <definedName name="_xlnm._FilterDatabase" localSheetId="1" hidden="1">'sheet1 (2)'!$A$4:$U$49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<sst xmlns="http://schemas.openxmlformats.org/spreadsheetml/2006/main" count="756" uniqueCount="132">
  <si>
    <t>采购申请单</t>
  </si>
  <si>
    <t>请购部门</t>
  </si>
  <si>
    <t>BU3</t>
  </si>
  <si>
    <t>专案编号</t>
  </si>
  <si>
    <t>JC240132</t>
  </si>
  <si>
    <t>PM</t>
  </si>
  <si>
    <t>刘涛</t>
  </si>
  <si>
    <t>工程师</t>
  </si>
  <si>
    <t>夏鹏帅</t>
  </si>
  <si>
    <t>电话</t>
  </si>
  <si>
    <t>序号</t>
  </si>
  <si>
    <t>类别</t>
  </si>
  <si>
    <t>工位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</si>
  <si>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</si>
  <si>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</si>
  <si>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</si>
  <si>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</si>
  <si>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</si>
  <si>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</si>
  <si>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</si>
  <si>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</si>
  <si>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</si>
  <si>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</si>
  <si>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</si>
  <si>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</si>
  <si>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合计</t>
  </si>
  <si>
    <t>备注</t>
  </si>
  <si>
    <t>ERPNO</t>
  </si>
  <si>
    <t>ECN类别：分批发包/设计变更/备品自用</t>
  </si>
  <si>
    <t>设备号</t>
  </si>
  <si>
    <t>项目未开工</t>
  </si>
  <si>
    <t>阴/阳极模切后切口检测工位
工位1</t>
  </si>
  <si>
    <t>相机电源线</t>
  </si>
  <si>
    <t>FY-HR6-5M-GYPT</t>
  </si>
  <si>
    <t>沣洋</t>
  </si>
  <si>
    <t>PCS</t>
  </si>
  <si>
    <t>分批发包</t>
  </si>
  <si>
    <t>相机网线</t>
  </si>
  <si>
    <t>FY-GE-BD-10M-GYPT</t>
  </si>
  <si>
    <t>彩色工业相机</t>
  </si>
  <si>
    <t>MV-CS050-10GC</t>
  </si>
  <si>
    <t>海康</t>
  </si>
  <si>
    <t>镜头</t>
  </si>
  <si>
    <t>FA2502D</t>
  </si>
  <si>
    <t>长步道</t>
  </si>
  <si>
    <t>平行背光源</t>
  </si>
  <si>
    <t>CST-PHFS5050-W</t>
  </si>
  <si>
    <t>康视达</t>
  </si>
  <si>
    <t>同轴光源</t>
  </si>
  <si>
    <t>CST-C60M60-W+定制</t>
  </si>
  <si>
    <t>标准光源延长线</t>
  </si>
  <si>
    <t>SM24-L10</t>
  </si>
  <si>
    <t>阴/阳极焊接检测工位           工位2</t>
  </si>
  <si>
    <t>光源控制器</t>
  </si>
  <si>
    <t>CST-DPS24200BM-8TD</t>
  </si>
  <si>
    <t>和工位1共用</t>
  </si>
  <si>
    <t>阴/阳极绿胶检测工位                                                 工位3</t>
  </si>
  <si>
    <t>线扫电源线</t>
  </si>
  <si>
    <t>IKPD-1205-H06-S05-F(5m高柔)</t>
  </si>
  <si>
    <t>埃科</t>
  </si>
  <si>
    <t>CL数据线</t>
  </si>
  <si>
    <t>IKDC-05-CL-SS2(5米高柔弯头)</t>
  </si>
  <si>
    <t>彩色线扫相机</t>
  </si>
  <si>
    <t>PN8KCL-33KC</t>
  </si>
  <si>
    <t>采集卡屏蔽触发线3米</t>
  </si>
  <si>
    <t>IKIO-F3-254-3000(3M)</t>
  </si>
  <si>
    <t>图像采集卡</t>
  </si>
  <si>
    <t>Vulcan-sCL-PE4-Full</t>
  </si>
  <si>
    <t>线扫镜头</t>
  </si>
  <si>
    <t>MS4505A</t>
  </si>
  <si>
    <t>线扫光源</t>
  </si>
  <si>
    <t>CST-ARS117316-XEK2-W-JRS</t>
  </si>
  <si>
    <t>光源延长线</t>
  </si>
  <si>
    <t>AC12P2-L5</t>
  </si>
  <si>
    <t>CST-DPS24240B-2T</t>
  </si>
  <si>
    <t>IO卡</t>
  </si>
  <si>
    <t>PCIE-IO控制板卡48IO-V1</t>
  </si>
  <si>
    <t>JRS</t>
  </si>
  <si>
    <t>IO卡端子板</t>
  </si>
  <si>
    <t>IO-板卡面板48IO-V1</t>
  </si>
  <si>
    <t>卷绕对齐度工位                       工位4</t>
  </si>
  <si>
    <t>黑白面阵相机</t>
  </si>
  <si>
    <t>MV-CS032-10GM</t>
  </si>
  <si>
    <t>FA5001C</t>
  </si>
  <si>
    <t>条光源</t>
  </si>
  <si>
    <t>CST-LXS10022-WJR</t>
  </si>
  <si>
    <t>条形光源</t>
  </si>
  <si>
    <t>CST-2BS23738-W</t>
  </si>
  <si>
    <t>卷绕收尾错位检测工位           工位5</t>
  </si>
  <si>
    <t>彩色面阵相机</t>
  </si>
  <si>
    <t>MV-CS032-60GC</t>
  </si>
  <si>
    <t>FA3501C</t>
  </si>
  <si>
    <t>下料尺寸检测工位                            工位6</t>
  </si>
  <si>
    <t>黑白工业相机</t>
  </si>
  <si>
    <t>MV-CS200-10GM</t>
  </si>
  <si>
    <t>海康威视</t>
  </si>
  <si>
    <t>FA1216A</t>
  </si>
  <si>
    <t>CST-PHFS14070-X-W</t>
  </si>
  <si>
    <t>和工位4、5共用</t>
  </si>
  <si>
    <t>4口图像采集卡</t>
  </si>
  <si>
    <t>Cannon-EGV-N-4A</t>
  </si>
  <si>
    <t>8个面阵相机</t>
  </si>
  <si>
    <t>工控机</t>
  </si>
  <si>
    <t>IPC-510L-500W+AIMB-787G2+I9-10900K+32G×2-256GSSD+1TSSD-6THDD+WIN10专业版</t>
  </si>
  <si>
    <t>研华</t>
  </si>
  <si>
    <t>线扫工控机</t>
  </si>
  <si>
    <t>IPC-510L-500W+AIMB-707G2+I9-10900K+32G×2-256GSSD+1TSSD-6THDD+WIN10专业版</t>
  </si>
  <si>
    <t>面阵工控机</t>
  </si>
  <si>
    <t>HDMI视频线10M</t>
  </si>
  <si>
    <t>绿联1233224-10M(工程级柔软耐弯折)</t>
  </si>
  <si>
    <t>绿联</t>
  </si>
  <si>
    <t>USB延长线 2.0公对母数据线 10米</t>
  </si>
  <si>
    <t>绿联10321(带信号放大器工程级10米)</t>
  </si>
  <si>
    <t>一台工控机俩根</t>
  </si>
  <si>
    <t>显示器21.5寸</t>
  </si>
  <si>
    <t>E2223HN</t>
  </si>
  <si>
    <t>戴尔</t>
  </si>
  <si>
    <t>显示器电源线10M</t>
  </si>
  <si>
    <t>GJ-10M</t>
  </si>
  <si>
    <t>冠捷</t>
  </si>
  <si>
    <t>无线键鼠套装</t>
  </si>
  <si>
    <t>MK245Nano</t>
  </si>
  <si>
    <t>罗技</t>
  </si>
  <si>
    <t>DVI公转HDMI母转接线(线长22cm)</t>
  </si>
  <si>
    <t>DVI公转HDMI母转接线22cm</t>
  </si>
  <si>
    <t>面阵工控机使用</t>
  </si>
  <si>
    <t>USB无线网卡</t>
  </si>
  <si>
    <t>TL-XDN7000免驱版</t>
  </si>
  <si>
    <t>TP-LINK</t>
  </si>
  <si>
    <t>备注：</t>
  </si>
  <si>
    <t xml:space="preserve"> </t>
  </si>
  <si>
    <t>basler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</si>
</sst>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indexed="8"/>
      <name val="等线"/>
      <charset val="1"/>
      <scheme val="minor"/>
    </font>
    <font>
      <sz val="14"/>
      <color indexed="8"/>
      <name val="宋体"/>
      <charset val="134"/>
    </font>
    <font>
      <sz val="14"/>
      <color rgb="FFFF0000"/>
      <name val="宋体"/>
      <charset val="134"/>
    </font>
    <font>
      <sz val="16"/>
      <color indexed="8"/>
      <name val="等线"/>
      <charset val="134"/>
      <scheme val="minor"/>
    </font>
    <font>
      <sz val="14"/>
      <color indexed="8"/>
      <name val="等线"/>
      <charset val="134"/>
      <scheme val="minor"/>
    </font>
    <font>
      <sz val="9"/>
      <name val="SimSun"/>
      <charset val="134"/>
    </font>
    <font>
      <b/>
      <sz val="48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indexed="8"/>
      <name val="宋体"/>
      <charset val="1"/>
    </font>
    <font>
      <sz val="14"/>
      <color rgb="FFFF0000"/>
      <name val="宋体"/>
      <charset val="1"/>
    </font>
    <font>
      <sz val="16"/>
      <name val="宋体"/>
      <charset val="134"/>
    </font>
    <font>
      <sz val="11"/>
      <color theme="1"/>
      <name val="等线"/>
      <charset val="1"/>
      <scheme val="minor"/>
    </font>
    <font>
      <sz val="16"/>
      <color theme="1"/>
      <name val="等线"/>
      <charset val="134"/>
      <scheme val="minor"/>
    </font>
    <font>
      <sz val="11"/>
      <color rgb="FFFF0000"/>
      <name val="等线"/>
      <charset val="1"/>
      <scheme val="minor"/>
    </font>
    <font>
      <sz val="16"/>
      <color rgb="FFFF0000"/>
      <name val="等线"/>
      <charset val="134"/>
      <scheme val="minor"/>
    </font>
    <font>
      <sz val="14"/>
      <name val="SimSun"/>
      <charset val="134"/>
    </font>
    <font>
      <b/>
      <sz val="14"/>
      <name val="宋体"/>
      <charset val="134"/>
    </font>
    <font>
      <sz val="14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rgb="FF757575"/>
      <name val="Arial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4" borderId="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10" applyNumberFormat="0" applyAlignment="0" applyProtection="0">
      <alignment vertical="center"/>
    </xf>
    <xf numFmtId="0" fontId="35" fillId="6" borderId="11" applyNumberFormat="0" applyAlignment="0" applyProtection="0">
      <alignment vertical="center"/>
    </xf>
    <xf numFmtId="0" fontId="36" fillId="6" borderId="10" applyNumberFormat="0" applyAlignment="0" applyProtection="0">
      <alignment vertical="center"/>
    </xf>
    <xf numFmtId="0" fontId="37" fillId="7" borderId="1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8" fillId="2" borderId="1" xfId="5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textRotation="255" wrapText="1" readingOrder="1"/>
    </xf>
    <xf numFmtId="0" fontId="8" fillId="2" borderId="1" xfId="0" applyFont="1" applyFill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 textRotation="255" wrapText="1"/>
    </xf>
    <xf numFmtId="0" fontId="2" fillId="2" borderId="1" xfId="5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255" wrapText="1"/>
    </xf>
    <xf numFmtId="0" fontId="8" fillId="2" borderId="5" xfId="0" applyFont="1" applyFill="1" applyBorder="1" applyAlignment="1">
      <alignment horizontal="center" vertical="center" textRotation="255" wrapText="1"/>
    </xf>
    <xf numFmtId="0" fontId="2" fillId="2" borderId="5" xfId="0" applyFont="1" applyFill="1" applyBorder="1" applyAlignment="1">
      <alignment horizontal="center" vertical="center" textRotation="255" wrapText="1"/>
    </xf>
    <xf numFmtId="0" fontId="8" fillId="2" borderId="6" xfId="0" applyFont="1" applyFill="1" applyBorder="1" applyAlignment="1">
      <alignment horizontal="center" vertical="center" textRotation="255" wrapText="1"/>
    </xf>
    <xf numFmtId="0" fontId="8" fillId="2" borderId="4" xfId="5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50" applyFont="1" applyFill="1" applyBorder="1" applyAlignment="1">
      <alignment horizontal="center" vertical="center" textRotation="255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50" applyFont="1" applyFill="1" applyBorder="1" applyAlignment="1">
      <alignment horizontal="center" vertical="center" wrapText="1"/>
    </xf>
    <xf numFmtId="0" fontId="8" fillId="2" borderId="4" xfId="50" applyNumberFormat="1" applyFont="1" applyFill="1" applyBorder="1" applyAlignment="1">
      <alignment horizontal="center" vertical="center" wrapText="1"/>
    </xf>
    <xf numFmtId="0" fontId="8" fillId="2" borderId="1" xfId="50" applyNumberFormat="1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4" fontId="20" fillId="2" borderId="1" xfId="5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43180</xdr:rowOff>
    </xdr:from>
    <xdr:to>
      <xdr:col>6</xdr:col>
      <xdr:colOff>16964</xdr:colOff>
      <xdr:row>0</xdr:row>
      <xdr:rowOff>580893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43180"/>
          <a:ext cx="10392410" cy="537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43180</xdr:rowOff>
    </xdr:from>
    <xdr:to>
      <xdr:col>6</xdr:col>
      <xdr:colOff>16964</xdr:colOff>
      <xdr:row>0</xdr:row>
      <xdr:rowOff>580893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43180"/>
          <a:ext cx="10392410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3"/>
  <sheetViews>
    <sheetView zoomScale="60" zoomScaleNormal="60" workbookViewId="0">
      <pane ySplit="4" topLeftCell="A37" activePane="bottomLeft" state="frozen"/>
      <selection/>
      <selection pane="bottomLeft" activeCell="E40" sqref="E40:G40"/>
    </sheetView>
  </sheetViews>
  <sheetFormatPr defaultColWidth="10" defaultRowHeight="20"/>
  <cols>
    <col min="1" max="1" width="7.975" style="5" customWidth="1"/>
    <col min="2" max="2" width="15.1166666666667" style="5" customWidth="1"/>
    <col min="3" max="3" width="12.0833333333333" style="6" customWidth="1"/>
    <col min="4" max="4" width="16.375" style="5" customWidth="1"/>
    <col min="5" max="5" width="24.75" style="5" customWidth="1"/>
    <col min="6" max="6" width="59.875" style="5" customWidth="1"/>
    <col min="7" max="7" width="13.2166666666667" style="5" customWidth="1"/>
    <col min="8" max="8" width="5.75" style="5" customWidth="1"/>
    <col min="9" max="9" width="4.875" style="5" customWidth="1"/>
    <col min="10" max="10" width="9.4" style="5" customWidth="1"/>
    <col min="11" max="12" width="4.75" style="5" customWidth="1"/>
    <col min="13" max="13" width="7.25" style="5" customWidth="1"/>
    <col min="14" max="14" width="7.25" style="6" hidden="1" customWidth="1"/>
    <col min="15" max="15" width="17.125" style="6" hidden="1" customWidth="1"/>
    <col min="16" max="17" width="13" style="7" customWidth="1"/>
    <col min="18" max="18" width="18.0583333333333" style="8" customWidth="1"/>
    <col min="19" max="19" width="19.625" style="5" customWidth="1"/>
    <col min="20" max="20" width="8" style="5" customWidth="1"/>
    <col min="21" max="21" width="16.875" style="5" customWidth="1"/>
    <col min="22" max="22" width="17.2166666666667" style="5" customWidth="1"/>
  </cols>
  <sheetData>
    <row r="1" ht="48.95" customHeight="1" spans="1:2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54"/>
      <c r="S1" s="9"/>
      <c r="T1" s="9"/>
      <c r="U1" s="9"/>
    </row>
    <row r="2" s="1" customFormat="1" ht="60" customHeight="1" spans="1:2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55"/>
      <c r="S2" s="10"/>
      <c r="T2" s="10"/>
      <c r="U2" s="56"/>
      <c r="V2" s="57"/>
    </row>
    <row r="3" s="1" customFormat="1" ht="30" customHeight="1" spans="1:22">
      <c r="A3" s="11" t="s">
        <v>1</v>
      </c>
      <c r="B3" s="11"/>
      <c r="C3" s="12" t="s">
        <v>2</v>
      </c>
      <c r="D3" s="13"/>
      <c r="E3" s="11" t="s">
        <v>3</v>
      </c>
      <c r="F3" s="11" t="s">
        <v>4</v>
      </c>
      <c r="G3" s="11" t="s">
        <v>5</v>
      </c>
      <c r="H3" s="11" t="s">
        <v>6</v>
      </c>
      <c r="I3" s="11"/>
      <c r="J3" s="11" t="s">
        <v>7</v>
      </c>
      <c r="K3" s="11" t="s">
        <v>8</v>
      </c>
      <c r="L3" s="11"/>
      <c r="M3" s="11" t="s">
        <v>9</v>
      </c>
      <c r="N3" s="11"/>
      <c r="O3" s="11"/>
      <c r="P3" s="40"/>
      <c r="Q3" s="40"/>
      <c r="R3" s="11"/>
      <c r="S3" s="11"/>
      <c r="T3" s="11"/>
      <c r="U3" s="11"/>
      <c r="V3" s="57"/>
    </row>
    <row r="4" s="1" customFormat="1" ht="50.25" customHeight="1" spans="1:22">
      <c r="A4" s="14" t="s">
        <v>10</v>
      </c>
      <c r="B4" s="15" t="s">
        <v>11</v>
      </c>
      <c r="C4" s="15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  <c r="K4" s="14" t="s">
        <v>20</v>
      </c>
      <c r="L4" s="14" t="s">
        <v>21</v>
      </c>
      <c r="M4" s="14" t="s">
        <v>22</v>
      </c>
      <c r="N4" s="15" t="s">
        <v>23</v>
      </c>
      <c r="O4" s="15" t="s">
        <v>24</v>
      </c>
      <c r="P4" s="41" t="s">
        <v>23</v>
      </c>
      <c r="Q4" s="41" t="s">
        <v>25</v>
      </c>
      <c r="R4" s="14" t="s">
        <v>26</v>
      </c>
      <c r="S4" s="14" t="s">
        <v>27</v>
      </c>
      <c r="T4" s="14" t="s">
        <v>28</v>
      </c>
      <c r="U4" s="14" t="s">
        <v>29</v>
      </c>
      <c r="V4" s="57"/>
    </row>
    <row r="5" s="1" customFormat="1" ht="39" customHeight="1" spans="1:22">
      <c r="A5" s="14">
        <v>1</v>
      </c>
      <c r="B5" s="16" t="s">
        <v>30</v>
      </c>
      <c r="C5" s="17" t="s">
        <v>31</v>
      </c>
      <c r="D5" s="18">
        <v>4202000029</v>
      </c>
      <c r="E5" s="18" t="s">
        <v>32</v>
      </c>
      <c r="F5" s="18" t="s">
        <v>33</v>
      </c>
      <c r="G5" s="18" t="s">
        <v>34</v>
      </c>
      <c r="H5" s="19" t="s">
        <v>35</v>
      </c>
      <c r="I5" s="19">
        <v>2</v>
      </c>
      <c r="J5" s="19">
        <v>1</v>
      </c>
      <c r="K5" s="42"/>
      <c r="L5" s="42"/>
      <c r="M5" s="19">
        <f>I5*J5</f>
        <v>2</v>
      </c>
      <c r="N5" s="43"/>
      <c r="O5" s="43"/>
      <c r="P5" s="44">
        <v>80</v>
      </c>
      <c r="Q5" s="58">
        <f>M5*P5</f>
        <v>160</v>
      </c>
      <c r="R5" s="59"/>
      <c r="S5" s="14"/>
      <c r="T5" s="60" t="s">
        <v>36</v>
      </c>
      <c r="U5" s="14"/>
      <c r="V5" s="57"/>
    </row>
    <row r="6" s="1" customFormat="1" ht="33" customHeight="1" spans="1:22">
      <c r="A6" s="14">
        <v>2</v>
      </c>
      <c r="B6" s="16" t="s">
        <v>30</v>
      </c>
      <c r="C6" s="17"/>
      <c r="D6" s="18">
        <v>3001000113</v>
      </c>
      <c r="E6" s="18" t="s">
        <v>37</v>
      </c>
      <c r="F6" s="18" t="s">
        <v>38</v>
      </c>
      <c r="G6" s="18" t="s">
        <v>34</v>
      </c>
      <c r="H6" s="19" t="s">
        <v>35</v>
      </c>
      <c r="I6" s="19">
        <v>2</v>
      </c>
      <c r="J6" s="19">
        <v>1</v>
      </c>
      <c r="K6" s="42"/>
      <c r="L6" s="42"/>
      <c r="M6" s="19">
        <f t="shared" ref="M6:M37" si="0">I6*J6</f>
        <v>2</v>
      </c>
      <c r="N6" s="43"/>
      <c r="O6" s="43"/>
      <c r="P6" s="44">
        <v>120</v>
      </c>
      <c r="Q6" s="58">
        <f t="shared" ref="Q6:Q37" si="1">M6*P6</f>
        <v>240</v>
      </c>
      <c r="R6" s="59"/>
      <c r="S6" s="14"/>
      <c r="T6" s="60" t="s">
        <v>36</v>
      </c>
      <c r="U6" s="14"/>
      <c r="V6" s="57"/>
    </row>
    <row r="7" s="1" customFormat="1" ht="25" customHeight="1" spans="1:22">
      <c r="A7" s="14">
        <v>3</v>
      </c>
      <c r="B7" s="16" t="s">
        <v>30</v>
      </c>
      <c r="C7" s="17"/>
      <c r="D7" s="18">
        <v>4000000015</v>
      </c>
      <c r="E7" s="18" t="s">
        <v>39</v>
      </c>
      <c r="F7" s="18" t="s">
        <v>40</v>
      </c>
      <c r="G7" s="18" t="s">
        <v>41</v>
      </c>
      <c r="H7" s="19" t="s">
        <v>35</v>
      </c>
      <c r="I7" s="19">
        <v>2</v>
      </c>
      <c r="J7" s="19">
        <v>1</v>
      </c>
      <c r="K7" s="42"/>
      <c r="L7" s="42"/>
      <c r="M7" s="19">
        <f t="shared" si="0"/>
        <v>2</v>
      </c>
      <c r="N7" s="43"/>
      <c r="O7" s="43"/>
      <c r="P7" s="44">
        <v>1700</v>
      </c>
      <c r="Q7" s="58">
        <f t="shared" si="1"/>
        <v>3400</v>
      </c>
      <c r="R7" s="59"/>
      <c r="S7" s="14"/>
      <c r="T7" s="60" t="s">
        <v>36</v>
      </c>
      <c r="U7" s="14"/>
      <c r="V7" s="57"/>
    </row>
    <row r="8" s="1" customFormat="1" ht="34" customHeight="1" spans="1:22">
      <c r="A8" s="14">
        <v>4</v>
      </c>
      <c r="B8" s="16" t="s">
        <v>30</v>
      </c>
      <c r="C8" s="17"/>
      <c r="D8" s="18">
        <v>4100000031</v>
      </c>
      <c r="E8" s="18" t="s">
        <v>42</v>
      </c>
      <c r="F8" s="18" t="s">
        <v>43</v>
      </c>
      <c r="G8" s="18" t="s">
        <v>44</v>
      </c>
      <c r="H8" s="20" t="s">
        <v>35</v>
      </c>
      <c r="I8" s="33">
        <v>2</v>
      </c>
      <c r="J8" s="20">
        <v>1</v>
      </c>
      <c r="K8" s="45"/>
      <c r="L8" s="45"/>
      <c r="M8" s="19">
        <f t="shared" si="0"/>
        <v>2</v>
      </c>
      <c r="N8" s="46"/>
      <c r="O8" s="46"/>
      <c r="P8" s="47">
        <v>240</v>
      </c>
      <c r="Q8" s="58">
        <f t="shared" si="1"/>
        <v>480</v>
      </c>
      <c r="R8" s="61"/>
      <c r="S8" s="14"/>
      <c r="T8" s="60" t="s">
        <v>36</v>
      </c>
      <c r="U8" s="14"/>
      <c r="V8" s="57"/>
    </row>
    <row r="9" s="1" customFormat="1" ht="32" customHeight="1" spans="1:22">
      <c r="A9" s="14">
        <v>5</v>
      </c>
      <c r="B9" s="16" t="s">
        <v>30</v>
      </c>
      <c r="C9" s="17"/>
      <c r="D9" s="18">
        <v>4201000046</v>
      </c>
      <c r="E9" s="18" t="s">
        <v>45</v>
      </c>
      <c r="F9" s="18" t="s">
        <v>46</v>
      </c>
      <c r="G9" s="18" t="s">
        <v>47</v>
      </c>
      <c r="H9" s="18" t="s">
        <v>35</v>
      </c>
      <c r="I9" s="33">
        <v>2</v>
      </c>
      <c r="J9" s="19">
        <v>1</v>
      </c>
      <c r="K9" s="45"/>
      <c r="L9" s="45"/>
      <c r="M9" s="19">
        <f t="shared" si="0"/>
        <v>2</v>
      </c>
      <c r="N9" s="46"/>
      <c r="O9" s="46"/>
      <c r="P9" s="47">
        <v>280</v>
      </c>
      <c r="Q9" s="58">
        <f t="shared" si="1"/>
        <v>560</v>
      </c>
      <c r="R9" s="61"/>
      <c r="S9" s="14"/>
      <c r="T9" s="60" t="s">
        <v>36</v>
      </c>
      <c r="U9" s="14"/>
      <c r="V9" s="57"/>
    </row>
    <row r="10" s="1" customFormat="1" ht="40" customHeight="1" spans="1:22">
      <c r="A10" s="14">
        <v>6</v>
      </c>
      <c r="B10" s="16" t="s">
        <v>30</v>
      </c>
      <c r="C10" s="17"/>
      <c r="D10" s="18">
        <v>4201000011</v>
      </c>
      <c r="E10" s="18" t="s">
        <v>48</v>
      </c>
      <c r="F10" s="18" t="s">
        <v>49</v>
      </c>
      <c r="G10" s="18" t="s">
        <v>47</v>
      </c>
      <c r="H10" s="18" t="s">
        <v>35</v>
      </c>
      <c r="I10" s="33">
        <v>2</v>
      </c>
      <c r="J10" s="19">
        <v>1</v>
      </c>
      <c r="K10" s="45"/>
      <c r="L10" s="45"/>
      <c r="M10" s="19">
        <f t="shared" si="0"/>
        <v>2</v>
      </c>
      <c r="N10" s="46"/>
      <c r="O10" s="46"/>
      <c r="P10" s="47">
        <v>350</v>
      </c>
      <c r="Q10" s="58">
        <f t="shared" si="1"/>
        <v>700</v>
      </c>
      <c r="R10" s="61"/>
      <c r="S10" s="14"/>
      <c r="T10" s="60" t="s">
        <v>36</v>
      </c>
      <c r="U10" s="14"/>
      <c r="V10" s="57"/>
    </row>
    <row r="11" s="1" customFormat="1" ht="29" customHeight="1" spans="1:22">
      <c r="A11" s="14">
        <v>7</v>
      </c>
      <c r="B11" s="16" t="s">
        <v>30</v>
      </c>
      <c r="C11" s="17"/>
      <c r="D11" s="18">
        <v>4202000017</v>
      </c>
      <c r="E11" s="18" t="s">
        <v>50</v>
      </c>
      <c r="F11" s="18" t="s">
        <v>51</v>
      </c>
      <c r="G11" s="18" t="s">
        <v>47</v>
      </c>
      <c r="H11" s="18" t="s">
        <v>35</v>
      </c>
      <c r="I11" s="33">
        <v>4</v>
      </c>
      <c r="J11" s="19">
        <v>1</v>
      </c>
      <c r="K11" s="45"/>
      <c r="L11" s="45"/>
      <c r="M11" s="19">
        <f t="shared" si="0"/>
        <v>4</v>
      </c>
      <c r="N11" s="46"/>
      <c r="O11" s="46"/>
      <c r="P11" s="47">
        <v>10</v>
      </c>
      <c r="Q11" s="58">
        <f t="shared" si="1"/>
        <v>40</v>
      </c>
      <c r="R11" s="61"/>
      <c r="S11" s="14"/>
      <c r="T11" s="60" t="s">
        <v>36</v>
      </c>
      <c r="U11" s="14"/>
      <c r="V11" s="57"/>
    </row>
    <row r="12" s="2" customFormat="1" ht="30.75" customHeight="1" spans="1:22">
      <c r="A12" s="14">
        <v>8</v>
      </c>
      <c r="B12" s="16" t="s">
        <v>30</v>
      </c>
      <c r="C12" s="21" t="s">
        <v>52</v>
      </c>
      <c r="D12" s="18">
        <v>4202000029</v>
      </c>
      <c r="E12" s="18" t="s">
        <v>32</v>
      </c>
      <c r="F12" s="18" t="s">
        <v>33</v>
      </c>
      <c r="G12" s="18" t="s">
        <v>34</v>
      </c>
      <c r="H12" s="20" t="s">
        <v>35</v>
      </c>
      <c r="I12" s="33">
        <v>2</v>
      </c>
      <c r="J12" s="20">
        <v>1</v>
      </c>
      <c r="K12" s="45"/>
      <c r="L12" s="45"/>
      <c r="M12" s="19">
        <f t="shared" si="0"/>
        <v>2</v>
      </c>
      <c r="N12" s="46"/>
      <c r="O12" s="46"/>
      <c r="P12" s="47">
        <v>80</v>
      </c>
      <c r="Q12" s="58">
        <f t="shared" si="1"/>
        <v>160</v>
      </c>
      <c r="R12" s="61"/>
      <c r="S12" s="62"/>
      <c r="T12" s="60" t="s">
        <v>36</v>
      </c>
      <c r="U12" s="63"/>
      <c r="V12" s="64"/>
    </row>
    <row r="13" s="2" customFormat="1" ht="30.75" customHeight="1" spans="1:22">
      <c r="A13" s="14">
        <v>9</v>
      </c>
      <c r="B13" s="16" t="s">
        <v>30</v>
      </c>
      <c r="C13" s="21"/>
      <c r="D13" s="18">
        <v>3001000113</v>
      </c>
      <c r="E13" s="18" t="s">
        <v>37</v>
      </c>
      <c r="F13" s="18" t="s">
        <v>38</v>
      </c>
      <c r="G13" s="18" t="s">
        <v>34</v>
      </c>
      <c r="H13" s="20" t="s">
        <v>35</v>
      </c>
      <c r="I13" s="33">
        <v>2</v>
      </c>
      <c r="J13" s="19">
        <v>1</v>
      </c>
      <c r="K13" s="45"/>
      <c r="L13" s="45"/>
      <c r="M13" s="19">
        <f t="shared" si="0"/>
        <v>2</v>
      </c>
      <c r="N13" s="46"/>
      <c r="O13" s="46"/>
      <c r="P13" s="47">
        <v>120</v>
      </c>
      <c r="Q13" s="58">
        <f t="shared" si="1"/>
        <v>240</v>
      </c>
      <c r="R13" s="61"/>
      <c r="S13" s="62"/>
      <c r="T13" s="60" t="s">
        <v>36</v>
      </c>
      <c r="U13" s="63"/>
      <c r="V13" s="64"/>
    </row>
    <row r="14" s="2" customFormat="1" ht="30.75" customHeight="1" spans="1:22">
      <c r="A14" s="14">
        <v>10</v>
      </c>
      <c r="B14" s="16" t="s">
        <v>30</v>
      </c>
      <c r="C14" s="21"/>
      <c r="D14" s="18">
        <v>4000000015</v>
      </c>
      <c r="E14" s="18" t="s">
        <v>39</v>
      </c>
      <c r="F14" s="18" t="s">
        <v>40</v>
      </c>
      <c r="G14" s="18" t="s">
        <v>41</v>
      </c>
      <c r="H14" s="20" t="s">
        <v>35</v>
      </c>
      <c r="I14" s="33">
        <v>2</v>
      </c>
      <c r="J14" s="19">
        <v>1</v>
      </c>
      <c r="K14" s="45"/>
      <c r="L14" s="45"/>
      <c r="M14" s="19">
        <f t="shared" si="0"/>
        <v>2</v>
      </c>
      <c r="N14" s="46"/>
      <c r="O14" s="46"/>
      <c r="P14" s="47">
        <v>1700</v>
      </c>
      <c r="Q14" s="58">
        <f t="shared" si="1"/>
        <v>3400</v>
      </c>
      <c r="R14" s="61"/>
      <c r="S14" s="62"/>
      <c r="T14" s="60" t="s">
        <v>36</v>
      </c>
      <c r="U14" s="63"/>
      <c r="V14" s="64"/>
    </row>
    <row r="15" s="2" customFormat="1" ht="30.75" customHeight="1" spans="1:22">
      <c r="A15" s="14">
        <v>11</v>
      </c>
      <c r="B15" s="16" t="s">
        <v>30</v>
      </c>
      <c r="C15" s="21"/>
      <c r="D15" s="18">
        <v>4100000031</v>
      </c>
      <c r="E15" s="18" t="s">
        <v>42</v>
      </c>
      <c r="F15" s="18" t="s">
        <v>43</v>
      </c>
      <c r="G15" s="18" t="s">
        <v>44</v>
      </c>
      <c r="H15" s="20" t="s">
        <v>35</v>
      </c>
      <c r="I15" s="33">
        <v>2</v>
      </c>
      <c r="J15" s="19">
        <v>1</v>
      </c>
      <c r="K15" s="45"/>
      <c r="L15" s="45"/>
      <c r="M15" s="19">
        <f t="shared" si="0"/>
        <v>2</v>
      </c>
      <c r="N15" s="46"/>
      <c r="O15" s="46"/>
      <c r="P15" s="47">
        <v>240</v>
      </c>
      <c r="Q15" s="58">
        <f t="shared" si="1"/>
        <v>480</v>
      </c>
      <c r="R15" s="61"/>
      <c r="S15" s="62"/>
      <c r="T15" s="60" t="s">
        <v>36</v>
      </c>
      <c r="U15" s="63"/>
      <c r="V15" s="64"/>
    </row>
    <row r="16" s="2" customFormat="1" ht="30.75" customHeight="1" spans="1:22">
      <c r="A16" s="14">
        <v>12</v>
      </c>
      <c r="B16" s="16" t="s">
        <v>30</v>
      </c>
      <c r="C16" s="21"/>
      <c r="D16" s="18">
        <v>4201000046</v>
      </c>
      <c r="E16" s="18" t="s">
        <v>45</v>
      </c>
      <c r="F16" s="18" t="s">
        <v>46</v>
      </c>
      <c r="G16" s="18" t="s">
        <v>47</v>
      </c>
      <c r="H16" s="18" t="s">
        <v>35</v>
      </c>
      <c r="I16" s="33">
        <v>2</v>
      </c>
      <c r="J16" s="20">
        <v>1</v>
      </c>
      <c r="K16" s="45"/>
      <c r="L16" s="45"/>
      <c r="M16" s="19">
        <f t="shared" si="0"/>
        <v>2</v>
      </c>
      <c r="N16" s="46"/>
      <c r="O16" s="46"/>
      <c r="P16" s="47">
        <v>280</v>
      </c>
      <c r="Q16" s="58">
        <f t="shared" si="1"/>
        <v>560</v>
      </c>
      <c r="R16" s="61"/>
      <c r="S16" s="62"/>
      <c r="T16" s="60" t="s">
        <v>36</v>
      </c>
      <c r="U16" s="63"/>
      <c r="V16" s="64"/>
    </row>
    <row r="17" s="2" customFormat="1" ht="30.75" customHeight="1" spans="1:22">
      <c r="A17" s="14">
        <v>13</v>
      </c>
      <c r="B17" s="16" t="s">
        <v>30</v>
      </c>
      <c r="C17" s="21"/>
      <c r="D17" s="18">
        <v>4201000011</v>
      </c>
      <c r="E17" s="18" t="s">
        <v>48</v>
      </c>
      <c r="F17" s="18" t="s">
        <v>49</v>
      </c>
      <c r="G17" s="18" t="s">
        <v>47</v>
      </c>
      <c r="H17" s="18" t="s">
        <v>35</v>
      </c>
      <c r="I17" s="33">
        <v>2</v>
      </c>
      <c r="J17" s="19">
        <v>1</v>
      </c>
      <c r="K17" s="45"/>
      <c r="L17" s="45"/>
      <c r="M17" s="19">
        <f t="shared" si="0"/>
        <v>2</v>
      </c>
      <c r="N17" s="46"/>
      <c r="O17" s="46"/>
      <c r="P17" s="47">
        <v>350</v>
      </c>
      <c r="Q17" s="58">
        <f t="shared" si="1"/>
        <v>700</v>
      </c>
      <c r="R17" s="61"/>
      <c r="S17" s="62"/>
      <c r="T17" s="60" t="s">
        <v>36</v>
      </c>
      <c r="U17" s="63"/>
      <c r="V17" s="64"/>
    </row>
    <row r="18" s="2" customFormat="1" ht="30.75" customHeight="1" spans="1:22">
      <c r="A18" s="14">
        <v>14</v>
      </c>
      <c r="B18" s="16" t="s">
        <v>30</v>
      </c>
      <c r="C18" s="21"/>
      <c r="D18" s="18">
        <v>4202000017</v>
      </c>
      <c r="E18" s="18" t="s">
        <v>50</v>
      </c>
      <c r="F18" s="18" t="s">
        <v>51</v>
      </c>
      <c r="G18" s="18" t="s">
        <v>47</v>
      </c>
      <c r="H18" s="18" t="s">
        <v>35</v>
      </c>
      <c r="I18" s="33">
        <v>4</v>
      </c>
      <c r="J18" s="19">
        <v>1</v>
      </c>
      <c r="K18" s="45"/>
      <c r="L18" s="45"/>
      <c r="M18" s="19">
        <f t="shared" si="0"/>
        <v>4</v>
      </c>
      <c r="N18" s="46"/>
      <c r="O18" s="46"/>
      <c r="P18" s="47">
        <v>10</v>
      </c>
      <c r="Q18" s="58">
        <f t="shared" si="1"/>
        <v>40</v>
      </c>
      <c r="R18" s="61"/>
      <c r="S18" s="62"/>
      <c r="T18" s="60" t="s">
        <v>36</v>
      </c>
      <c r="U18" s="63"/>
      <c r="V18" s="64"/>
    </row>
    <row r="19" s="2" customFormat="1" ht="30.75" customHeight="1" spans="1:22">
      <c r="A19" s="14">
        <v>15</v>
      </c>
      <c r="B19" s="16" t="s">
        <v>30</v>
      </c>
      <c r="C19" s="21"/>
      <c r="D19" s="18">
        <v>4202000020</v>
      </c>
      <c r="E19" s="18" t="s">
        <v>53</v>
      </c>
      <c r="F19" s="18" t="s">
        <v>54</v>
      </c>
      <c r="G19" s="18" t="s">
        <v>47</v>
      </c>
      <c r="H19" s="18" t="s">
        <v>35</v>
      </c>
      <c r="I19" s="33">
        <v>1</v>
      </c>
      <c r="J19" s="19">
        <v>1</v>
      </c>
      <c r="K19" s="45"/>
      <c r="L19" s="45"/>
      <c r="M19" s="19">
        <f t="shared" si="0"/>
        <v>1</v>
      </c>
      <c r="N19" s="46"/>
      <c r="O19" s="46"/>
      <c r="P19" s="47">
        <v>980</v>
      </c>
      <c r="Q19" s="58">
        <f t="shared" si="1"/>
        <v>980</v>
      </c>
      <c r="R19" s="61" t="s">
        <v>55</v>
      </c>
      <c r="S19" s="62"/>
      <c r="T19" s="60"/>
      <c r="U19" s="63"/>
      <c r="V19" s="64"/>
    </row>
    <row r="20" s="2" customFormat="1" ht="30.75" customHeight="1" spans="1:22">
      <c r="A20" s="14">
        <v>16</v>
      </c>
      <c r="B20" s="16" t="s">
        <v>30</v>
      </c>
      <c r="C20" s="22" t="s">
        <v>56</v>
      </c>
      <c r="D20" s="18">
        <v>3001000044</v>
      </c>
      <c r="E20" s="18" t="s">
        <v>57</v>
      </c>
      <c r="F20" s="18" t="s">
        <v>58</v>
      </c>
      <c r="G20" s="18" t="s">
        <v>59</v>
      </c>
      <c r="H20" s="20" t="s">
        <v>35</v>
      </c>
      <c r="I20" s="33">
        <v>4</v>
      </c>
      <c r="J20" s="20">
        <v>1</v>
      </c>
      <c r="K20" s="45"/>
      <c r="L20" s="45"/>
      <c r="M20" s="19">
        <f t="shared" si="0"/>
        <v>4</v>
      </c>
      <c r="N20" s="46"/>
      <c r="O20" s="46"/>
      <c r="P20" s="47">
        <v>120</v>
      </c>
      <c r="Q20" s="58">
        <f t="shared" si="1"/>
        <v>480</v>
      </c>
      <c r="R20" s="65"/>
      <c r="S20" s="66"/>
      <c r="T20" s="60" t="s">
        <v>36</v>
      </c>
      <c r="U20" s="20"/>
      <c r="V20" s="64"/>
    </row>
    <row r="21" s="2" customFormat="1" ht="30.75" customHeight="1" spans="1:22">
      <c r="A21" s="14">
        <v>17</v>
      </c>
      <c r="B21" s="16" t="s">
        <v>30</v>
      </c>
      <c r="C21" s="22"/>
      <c r="D21" s="18">
        <v>3001000123</v>
      </c>
      <c r="E21" s="18" t="s">
        <v>60</v>
      </c>
      <c r="F21" s="18" t="s">
        <v>61</v>
      </c>
      <c r="G21" s="18" t="s">
        <v>59</v>
      </c>
      <c r="H21" s="20" t="s">
        <v>35</v>
      </c>
      <c r="I21" s="33">
        <v>8</v>
      </c>
      <c r="J21" s="19">
        <v>1</v>
      </c>
      <c r="K21" s="45"/>
      <c r="L21" s="45"/>
      <c r="M21" s="19">
        <f t="shared" si="0"/>
        <v>8</v>
      </c>
      <c r="N21" s="46"/>
      <c r="O21" s="46"/>
      <c r="P21" s="47">
        <v>350</v>
      </c>
      <c r="Q21" s="58">
        <f t="shared" si="1"/>
        <v>2800</v>
      </c>
      <c r="R21" s="65"/>
      <c r="S21" s="66"/>
      <c r="T21" s="60" t="s">
        <v>36</v>
      </c>
      <c r="U21" s="20"/>
      <c r="V21" s="64"/>
    </row>
    <row r="22" s="2" customFormat="1" ht="30.75" customHeight="1" spans="1:22">
      <c r="A22" s="14">
        <v>18</v>
      </c>
      <c r="B22" s="16" t="s">
        <v>30</v>
      </c>
      <c r="C22" s="22"/>
      <c r="D22" s="18">
        <v>4000000039</v>
      </c>
      <c r="E22" s="18" t="s">
        <v>62</v>
      </c>
      <c r="F22" s="18" t="s">
        <v>63</v>
      </c>
      <c r="G22" s="18" t="s">
        <v>59</v>
      </c>
      <c r="H22" s="20" t="s">
        <v>35</v>
      </c>
      <c r="I22" s="33">
        <v>4</v>
      </c>
      <c r="J22" s="19">
        <v>1</v>
      </c>
      <c r="K22" s="45"/>
      <c r="L22" s="45"/>
      <c r="M22" s="19">
        <f t="shared" si="0"/>
        <v>4</v>
      </c>
      <c r="N22" s="46"/>
      <c r="O22" s="46"/>
      <c r="P22" s="47">
        <v>6000</v>
      </c>
      <c r="Q22" s="58">
        <f t="shared" si="1"/>
        <v>24000</v>
      </c>
      <c r="R22" s="65"/>
      <c r="S22" s="66"/>
      <c r="T22" s="60" t="s">
        <v>36</v>
      </c>
      <c r="U22" s="20"/>
      <c r="V22" s="64"/>
    </row>
    <row r="23" s="2" customFormat="1" ht="30.75" customHeight="1" spans="1:22">
      <c r="A23" s="14">
        <v>19</v>
      </c>
      <c r="B23" s="16" t="s">
        <v>30</v>
      </c>
      <c r="C23" s="22"/>
      <c r="D23" s="18">
        <v>3002000009</v>
      </c>
      <c r="E23" s="18" t="s">
        <v>64</v>
      </c>
      <c r="F23" s="18" t="s">
        <v>65</v>
      </c>
      <c r="G23" s="18" t="s">
        <v>59</v>
      </c>
      <c r="H23" s="20" t="s">
        <v>35</v>
      </c>
      <c r="I23" s="33">
        <v>4</v>
      </c>
      <c r="J23" s="19">
        <v>1</v>
      </c>
      <c r="K23" s="45"/>
      <c r="L23" s="45"/>
      <c r="M23" s="19">
        <f t="shared" si="0"/>
        <v>4</v>
      </c>
      <c r="N23" s="46"/>
      <c r="O23" s="46"/>
      <c r="P23" s="47">
        <v>320</v>
      </c>
      <c r="Q23" s="58">
        <f t="shared" si="1"/>
        <v>1280</v>
      </c>
      <c r="R23" s="65"/>
      <c r="S23" s="66"/>
      <c r="T23" s="60" t="s">
        <v>36</v>
      </c>
      <c r="U23" s="20"/>
      <c r="V23" s="64"/>
    </row>
    <row r="24" s="2" customFormat="1" ht="30.75" customHeight="1" spans="1:22">
      <c r="A24" s="14">
        <v>20</v>
      </c>
      <c r="B24" s="16" t="s">
        <v>30</v>
      </c>
      <c r="C24" s="22"/>
      <c r="D24" s="18">
        <v>4400000003</v>
      </c>
      <c r="E24" s="18" t="s">
        <v>66</v>
      </c>
      <c r="F24" s="20" t="s">
        <v>67</v>
      </c>
      <c r="G24" s="18" t="s">
        <v>59</v>
      </c>
      <c r="H24" s="20" t="s">
        <v>35</v>
      </c>
      <c r="I24" s="33">
        <v>4</v>
      </c>
      <c r="J24" s="20">
        <v>1</v>
      </c>
      <c r="K24" s="45"/>
      <c r="L24" s="45"/>
      <c r="M24" s="19">
        <f t="shared" si="0"/>
        <v>4</v>
      </c>
      <c r="N24" s="46"/>
      <c r="O24" s="46"/>
      <c r="P24" s="47">
        <v>4000</v>
      </c>
      <c r="Q24" s="58">
        <f t="shared" si="1"/>
        <v>16000</v>
      </c>
      <c r="R24" s="65"/>
      <c r="S24" s="66"/>
      <c r="T24" s="60" t="s">
        <v>36</v>
      </c>
      <c r="U24" s="20"/>
      <c r="V24" s="64"/>
    </row>
    <row r="25" s="3" customFormat="1" ht="30.75" customHeight="1" spans="1:22">
      <c r="A25" s="14">
        <v>21</v>
      </c>
      <c r="B25" s="16" t="s">
        <v>30</v>
      </c>
      <c r="C25" s="23"/>
      <c r="D25" s="24"/>
      <c r="E25" s="18" t="s">
        <v>68</v>
      </c>
      <c r="F25" s="19" t="s">
        <v>69</v>
      </c>
      <c r="G25" s="18" t="s">
        <v>44</v>
      </c>
      <c r="H25" s="19" t="s">
        <v>35</v>
      </c>
      <c r="I25" s="19">
        <v>4</v>
      </c>
      <c r="J25" s="19">
        <v>1</v>
      </c>
      <c r="K25" s="42"/>
      <c r="L25" s="42"/>
      <c r="M25" s="19">
        <f t="shared" si="0"/>
        <v>4</v>
      </c>
      <c r="N25" s="43"/>
      <c r="O25" s="43"/>
      <c r="P25" s="44">
        <v>2100</v>
      </c>
      <c r="Q25" s="58">
        <f t="shared" si="1"/>
        <v>8400</v>
      </c>
      <c r="R25" s="65"/>
      <c r="S25" s="67"/>
      <c r="T25" s="60" t="s">
        <v>36</v>
      </c>
      <c r="U25" s="68"/>
      <c r="V25" s="69"/>
    </row>
    <row r="26" s="2" customFormat="1" ht="30.75" customHeight="1" spans="1:22">
      <c r="A26" s="14">
        <v>22</v>
      </c>
      <c r="B26" s="16" t="s">
        <v>30</v>
      </c>
      <c r="C26" s="22"/>
      <c r="D26" s="18">
        <v>4201000112</v>
      </c>
      <c r="E26" s="18" t="s">
        <v>70</v>
      </c>
      <c r="F26" s="18" t="s">
        <v>71</v>
      </c>
      <c r="G26" s="18" t="s">
        <v>47</v>
      </c>
      <c r="H26" s="20" t="s">
        <v>35</v>
      </c>
      <c r="I26" s="33">
        <v>4</v>
      </c>
      <c r="J26" s="19">
        <v>1</v>
      </c>
      <c r="K26" s="45"/>
      <c r="L26" s="45"/>
      <c r="M26" s="19">
        <f t="shared" si="0"/>
        <v>4</v>
      </c>
      <c r="N26" s="46"/>
      <c r="O26" s="46"/>
      <c r="P26" s="47">
        <v>2100</v>
      </c>
      <c r="Q26" s="58">
        <f t="shared" si="1"/>
        <v>8400</v>
      </c>
      <c r="R26" s="65"/>
      <c r="S26" s="66"/>
      <c r="T26" s="60" t="s">
        <v>36</v>
      </c>
      <c r="U26" s="20"/>
      <c r="V26" s="64"/>
    </row>
    <row r="27" s="2" customFormat="1" ht="30.75" customHeight="1" spans="1:22">
      <c r="A27" s="14">
        <v>23</v>
      </c>
      <c r="B27" s="16" t="s">
        <v>30</v>
      </c>
      <c r="C27" s="22"/>
      <c r="D27" s="18">
        <v>4202000033</v>
      </c>
      <c r="E27" s="18" t="s">
        <v>72</v>
      </c>
      <c r="F27" s="18" t="s">
        <v>73</v>
      </c>
      <c r="G27" s="20" t="s">
        <v>47</v>
      </c>
      <c r="H27" s="20" t="s">
        <v>35</v>
      </c>
      <c r="I27" s="33">
        <v>8</v>
      </c>
      <c r="J27" s="19">
        <v>1</v>
      </c>
      <c r="K27" s="45"/>
      <c r="L27" s="45"/>
      <c r="M27" s="19">
        <f t="shared" si="0"/>
        <v>8</v>
      </c>
      <c r="N27" s="46"/>
      <c r="O27" s="46"/>
      <c r="P27" s="47">
        <v>10</v>
      </c>
      <c r="Q27" s="58">
        <f t="shared" si="1"/>
        <v>80</v>
      </c>
      <c r="R27" s="65"/>
      <c r="S27" s="66"/>
      <c r="T27" s="60" t="s">
        <v>36</v>
      </c>
      <c r="U27" s="20"/>
      <c r="V27" s="64"/>
    </row>
    <row r="28" s="2" customFormat="1" ht="30.75" customHeight="1" spans="1:22">
      <c r="A28" s="14">
        <v>24</v>
      </c>
      <c r="B28" s="16" t="s">
        <v>30</v>
      </c>
      <c r="C28" s="22"/>
      <c r="D28" s="18">
        <v>4202000032</v>
      </c>
      <c r="E28" s="18" t="s">
        <v>53</v>
      </c>
      <c r="F28" s="20" t="s">
        <v>74</v>
      </c>
      <c r="G28" s="20" t="s">
        <v>47</v>
      </c>
      <c r="H28" s="20" t="s">
        <v>35</v>
      </c>
      <c r="I28" s="33">
        <v>4</v>
      </c>
      <c r="J28" s="20">
        <v>1</v>
      </c>
      <c r="K28" s="45"/>
      <c r="L28" s="45"/>
      <c r="M28" s="19">
        <f t="shared" si="0"/>
        <v>4</v>
      </c>
      <c r="N28" s="46"/>
      <c r="O28" s="46"/>
      <c r="P28" s="47">
        <v>900</v>
      </c>
      <c r="Q28" s="58">
        <f t="shared" si="1"/>
        <v>3600</v>
      </c>
      <c r="R28" s="65"/>
      <c r="S28" s="66"/>
      <c r="T28" s="60" t="s">
        <v>36</v>
      </c>
      <c r="U28" s="20"/>
      <c r="V28" s="64"/>
    </row>
    <row r="29" s="2" customFormat="1" ht="30.75" customHeight="1" spans="1:22">
      <c r="A29" s="14">
        <v>25</v>
      </c>
      <c r="B29" s="16" t="s">
        <v>30</v>
      </c>
      <c r="C29" s="22"/>
      <c r="D29" s="18">
        <v>2502000009</v>
      </c>
      <c r="E29" s="25" t="s">
        <v>75</v>
      </c>
      <c r="F29" s="18" t="s">
        <v>76</v>
      </c>
      <c r="G29" s="18" t="s">
        <v>77</v>
      </c>
      <c r="H29" s="19" t="s">
        <v>35</v>
      </c>
      <c r="I29" s="33">
        <v>2</v>
      </c>
      <c r="J29" s="19">
        <v>1</v>
      </c>
      <c r="K29" s="45"/>
      <c r="L29" s="45"/>
      <c r="M29" s="19">
        <f t="shared" si="0"/>
        <v>2</v>
      </c>
      <c r="N29" s="46"/>
      <c r="O29" s="46"/>
      <c r="P29" s="47">
        <v>1000</v>
      </c>
      <c r="Q29" s="58">
        <f t="shared" si="1"/>
        <v>2000</v>
      </c>
      <c r="R29" s="65"/>
      <c r="S29" s="66"/>
      <c r="T29" s="60" t="s">
        <v>36</v>
      </c>
      <c r="U29" s="20"/>
      <c r="V29" s="64"/>
    </row>
    <row r="30" s="2" customFormat="1" ht="30.75" customHeight="1" spans="1:22">
      <c r="A30" s="14">
        <v>26</v>
      </c>
      <c r="B30" s="16" t="s">
        <v>30</v>
      </c>
      <c r="C30" s="22"/>
      <c r="D30" s="18">
        <v>2502000010</v>
      </c>
      <c r="E30" s="25" t="s">
        <v>78</v>
      </c>
      <c r="F30" s="18" t="s">
        <v>79</v>
      </c>
      <c r="G30" s="18" t="s">
        <v>77</v>
      </c>
      <c r="H30" s="19" t="s">
        <v>35</v>
      </c>
      <c r="I30" s="33">
        <v>2</v>
      </c>
      <c r="J30" s="19">
        <v>1</v>
      </c>
      <c r="K30" s="45"/>
      <c r="L30" s="45"/>
      <c r="M30" s="19">
        <f t="shared" si="0"/>
        <v>2</v>
      </c>
      <c r="N30" s="46"/>
      <c r="O30" s="46"/>
      <c r="P30" s="47">
        <v>1000</v>
      </c>
      <c r="Q30" s="58">
        <f t="shared" si="1"/>
        <v>2000</v>
      </c>
      <c r="R30" s="65"/>
      <c r="S30" s="66"/>
      <c r="T30" s="60" t="s">
        <v>36</v>
      </c>
      <c r="U30" s="20"/>
      <c r="V30" s="64"/>
    </row>
    <row r="31" s="2" customFormat="1" ht="30.75" customHeight="1" spans="1:22">
      <c r="A31" s="14">
        <v>27</v>
      </c>
      <c r="B31" s="16" t="s">
        <v>30</v>
      </c>
      <c r="C31" s="22" t="s">
        <v>80</v>
      </c>
      <c r="D31" s="18">
        <v>4202000029</v>
      </c>
      <c r="E31" s="18" t="s">
        <v>32</v>
      </c>
      <c r="F31" s="18" t="s">
        <v>33</v>
      </c>
      <c r="G31" s="18" t="s">
        <v>34</v>
      </c>
      <c r="H31" s="20" t="s">
        <v>35</v>
      </c>
      <c r="I31" s="33">
        <v>2</v>
      </c>
      <c r="J31" s="19">
        <v>1</v>
      </c>
      <c r="K31" s="45"/>
      <c r="L31" s="45"/>
      <c r="M31" s="19">
        <f t="shared" si="0"/>
        <v>2</v>
      </c>
      <c r="N31" s="46"/>
      <c r="O31" s="46"/>
      <c r="P31" s="47">
        <v>60</v>
      </c>
      <c r="Q31" s="58">
        <f t="shared" si="1"/>
        <v>120</v>
      </c>
      <c r="R31" s="65"/>
      <c r="S31" s="66"/>
      <c r="T31" s="60" t="s">
        <v>36</v>
      </c>
      <c r="U31" s="20"/>
      <c r="V31" s="64"/>
    </row>
    <row r="32" s="2" customFormat="1" ht="30.75" customHeight="1" spans="1:22">
      <c r="A32" s="14">
        <v>28</v>
      </c>
      <c r="B32" s="16" t="s">
        <v>30</v>
      </c>
      <c r="C32" s="22"/>
      <c r="D32" s="18">
        <v>3001000113</v>
      </c>
      <c r="E32" s="18" t="s">
        <v>37</v>
      </c>
      <c r="F32" s="18" t="s">
        <v>38</v>
      </c>
      <c r="G32" s="18" t="s">
        <v>34</v>
      </c>
      <c r="H32" s="20" t="s">
        <v>35</v>
      </c>
      <c r="I32" s="33">
        <v>2</v>
      </c>
      <c r="J32" s="20">
        <v>1</v>
      </c>
      <c r="K32" s="45"/>
      <c r="L32" s="45"/>
      <c r="M32" s="19">
        <f t="shared" si="0"/>
        <v>2</v>
      </c>
      <c r="N32" s="46"/>
      <c r="O32" s="46"/>
      <c r="P32" s="47">
        <v>80</v>
      </c>
      <c r="Q32" s="58">
        <f t="shared" si="1"/>
        <v>160</v>
      </c>
      <c r="R32" s="65"/>
      <c r="S32" s="66"/>
      <c r="T32" s="60" t="s">
        <v>36</v>
      </c>
      <c r="U32" s="20"/>
      <c r="V32" s="64"/>
    </row>
    <row r="33" s="2" customFormat="1" ht="30.75" customHeight="1" spans="1:22">
      <c r="A33" s="14">
        <v>29</v>
      </c>
      <c r="B33" s="16" t="s">
        <v>30</v>
      </c>
      <c r="C33" s="22"/>
      <c r="D33" s="18">
        <v>4000000038</v>
      </c>
      <c r="E33" s="18" t="s">
        <v>81</v>
      </c>
      <c r="F33" s="18" t="s">
        <v>82</v>
      </c>
      <c r="G33" s="18" t="s">
        <v>41</v>
      </c>
      <c r="H33" s="20" t="s">
        <v>35</v>
      </c>
      <c r="I33" s="33">
        <v>2</v>
      </c>
      <c r="J33" s="19">
        <v>1</v>
      </c>
      <c r="K33" s="45"/>
      <c r="L33" s="45"/>
      <c r="M33" s="19">
        <f t="shared" si="0"/>
        <v>2</v>
      </c>
      <c r="N33" s="46"/>
      <c r="O33" s="46"/>
      <c r="P33" s="47">
        <v>1350</v>
      </c>
      <c r="Q33" s="58">
        <f t="shared" si="1"/>
        <v>2700</v>
      </c>
      <c r="R33" s="65"/>
      <c r="S33" s="66"/>
      <c r="T33" s="60" t="s">
        <v>36</v>
      </c>
      <c r="U33" s="20"/>
      <c r="V33" s="64"/>
    </row>
    <row r="34" s="2" customFormat="1" ht="30.75" customHeight="1" spans="1:22">
      <c r="A34" s="14">
        <v>30</v>
      </c>
      <c r="B34" s="16" t="s">
        <v>30</v>
      </c>
      <c r="C34" s="22"/>
      <c r="D34" s="18">
        <v>4100000032</v>
      </c>
      <c r="E34" s="18" t="s">
        <v>42</v>
      </c>
      <c r="F34" s="18" t="s">
        <v>83</v>
      </c>
      <c r="G34" s="18" t="s">
        <v>44</v>
      </c>
      <c r="H34" s="19" t="s">
        <v>35</v>
      </c>
      <c r="I34" s="19">
        <v>2</v>
      </c>
      <c r="J34" s="19">
        <v>1</v>
      </c>
      <c r="K34" s="45"/>
      <c r="L34" s="45"/>
      <c r="M34" s="19">
        <f t="shared" si="0"/>
        <v>2</v>
      </c>
      <c r="N34" s="43"/>
      <c r="O34" s="43"/>
      <c r="P34" s="44">
        <v>220</v>
      </c>
      <c r="Q34" s="58">
        <f t="shared" si="1"/>
        <v>440</v>
      </c>
      <c r="R34" s="65"/>
      <c r="S34" s="66"/>
      <c r="T34" s="60" t="s">
        <v>36</v>
      </c>
      <c r="U34" s="20"/>
      <c r="V34" s="64"/>
    </row>
    <row r="35" s="2" customFormat="1" ht="30.75" customHeight="1" spans="1:22">
      <c r="A35" s="14">
        <v>31</v>
      </c>
      <c r="B35" s="16" t="s">
        <v>30</v>
      </c>
      <c r="C35" s="22"/>
      <c r="D35" s="18">
        <v>4201000054</v>
      </c>
      <c r="E35" s="18" t="s">
        <v>84</v>
      </c>
      <c r="F35" s="18" t="s">
        <v>85</v>
      </c>
      <c r="G35" s="18" t="s">
        <v>47</v>
      </c>
      <c r="H35" s="20" t="s">
        <v>35</v>
      </c>
      <c r="I35" s="33">
        <v>2</v>
      </c>
      <c r="J35" s="19">
        <v>1</v>
      </c>
      <c r="K35" s="45"/>
      <c r="L35" s="45"/>
      <c r="M35" s="19">
        <f t="shared" si="0"/>
        <v>2</v>
      </c>
      <c r="N35" s="46"/>
      <c r="O35" s="46"/>
      <c r="P35" s="47">
        <v>600</v>
      </c>
      <c r="Q35" s="58">
        <f t="shared" si="1"/>
        <v>1200</v>
      </c>
      <c r="R35" s="65"/>
      <c r="S35" s="66"/>
      <c r="T35" s="60" t="s">
        <v>36</v>
      </c>
      <c r="U35" s="20"/>
      <c r="V35" s="64"/>
    </row>
    <row r="36" s="2" customFormat="1" ht="30.75" customHeight="1" spans="1:22">
      <c r="A36" s="14">
        <v>32</v>
      </c>
      <c r="B36" s="16" t="s">
        <v>30</v>
      </c>
      <c r="C36" s="22"/>
      <c r="D36" s="18">
        <v>4201000024</v>
      </c>
      <c r="E36" s="18" t="s">
        <v>86</v>
      </c>
      <c r="F36" s="18" t="s">
        <v>87</v>
      </c>
      <c r="G36" s="18" t="s">
        <v>47</v>
      </c>
      <c r="H36" s="20" t="s">
        <v>35</v>
      </c>
      <c r="I36" s="33">
        <v>1</v>
      </c>
      <c r="J36" s="20">
        <v>1</v>
      </c>
      <c r="K36" s="45"/>
      <c r="L36" s="45"/>
      <c r="M36" s="19">
        <f t="shared" si="0"/>
        <v>1</v>
      </c>
      <c r="N36" s="46"/>
      <c r="O36" s="46"/>
      <c r="P36" s="47">
        <v>390</v>
      </c>
      <c r="Q36" s="58">
        <f t="shared" si="1"/>
        <v>390</v>
      </c>
      <c r="R36" s="65"/>
      <c r="S36" s="66"/>
      <c r="T36" s="60" t="s">
        <v>36</v>
      </c>
      <c r="U36" s="20"/>
      <c r="V36" s="64"/>
    </row>
    <row r="37" s="2" customFormat="1" ht="30.75" customHeight="1" spans="1:22">
      <c r="A37" s="14">
        <v>33</v>
      </c>
      <c r="B37" s="16" t="s">
        <v>30</v>
      </c>
      <c r="C37" s="22"/>
      <c r="D37" s="18">
        <v>4202000017</v>
      </c>
      <c r="E37" s="18" t="s">
        <v>50</v>
      </c>
      <c r="F37" s="18" t="s">
        <v>51</v>
      </c>
      <c r="G37" s="18" t="s">
        <v>47</v>
      </c>
      <c r="H37" s="20" t="s">
        <v>35</v>
      </c>
      <c r="I37" s="33">
        <v>3</v>
      </c>
      <c r="J37" s="19">
        <v>1</v>
      </c>
      <c r="K37" s="45"/>
      <c r="L37" s="45"/>
      <c r="M37" s="19">
        <f t="shared" si="0"/>
        <v>3</v>
      </c>
      <c r="N37" s="46"/>
      <c r="O37" s="46"/>
      <c r="P37" s="47">
        <v>10</v>
      </c>
      <c r="Q37" s="58">
        <f t="shared" si="1"/>
        <v>30</v>
      </c>
      <c r="R37" s="65"/>
      <c r="S37" s="66"/>
      <c r="T37" s="60" t="s">
        <v>36</v>
      </c>
      <c r="U37" s="20"/>
      <c r="V37" s="64"/>
    </row>
    <row r="38" s="2" customFormat="1" ht="30.75" customHeight="1" spans="1:22">
      <c r="A38" s="14">
        <v>34</v>
      </c>
      <c r="B38" s="16" t="s">
        <v>30</v>
      </c>
      <c r="C38" s="26" t="s">
        <v>88</v>
      </c>
      <c r="D38" s="18">
        <v>4202000029</v>
      </c>
      <c r="E38" s="18" t="s">
        <v>32</v>
      </c>
      <c r="F38" s="18" t="s">
        <v>33</v>
      </c>
      <c r="G38" s="18" t="s">
        <v>34</v>
      </c>
      <c r="H38" s="20" t="s">
        <v>35</v>
      </c>
      <c r="I38" s="33">
        <v>1</v>
      </c>
      <c r="J38" s="19">
        <v>1</v>
      </c>
      <c r="K38" s="45"/>
      <c r="L38" s="45"/>
      <c r="M38" s="19">
        <f t="shared" ref="M38:M60" si="2">I38*J38</f>
        <v>1</v>
      </c>
      <c r="N38" s="46"/>
      <c r="O38" s="46"/>
      <c r="P38" s="47">
        <v>60</v>
      </c>
      <c r="Q38" s="58">
        <f t="shared" ref="Q38:Q60" si="3">M38*P38</f>
        <v>60</v>
      </c>
      <c r="R38" s="65"/>
      <c r="S38" s="66"/>
      <c r="T38" s="60" t="s">
        <v>36</v>
      </c>
      <c r="U38" s="20"/>
      <c r="V38" s="64"/>
    </row>
    <row r="39" s="2" customFormat="1" ht="30.75" customHeight="1" spans="1:22">
      <c r="A39" s="14">
        <v>35</v>
      </c>
      <c r="B39" s="16" t="s">
        <v>30</v>
      </c>
      <c r="C39" s="27"/>
      <c r="D39" s="18">
        <v>3001000113</v>
      </c>
      <c r="E39" s="18" t="s">
        <v>37</v>
      </c>
      <c r="F39" s="18" t="s">
        <v>38</v>
      </c>
      <c r="G39" s="18" t="s">
        <v>34</v>
      </c>
      <c r="H39" s="20" t="s">
        <v>35</v>
      </c>
      <c r="I39" s="33">
        <v>1</v>
      </c>
      <c r="J39" s="19">
        <v>1</v>
      </c>
      <c r="K39" s="45"/>
      <c r="L39" s="45"/>
      <c r="M39" s="19">
        <f t="shared" si="2"/>
        <v>1</v>
      </c>
      <c r="N39" s="46"/>
      <c r="O39" s="46"/>
      <c r="P39" s="47">
        <v>80</v>
      </c>
      <c r="Q39" s="58">
        <f t="shared" si="3"/>
        <v>80</v>
      </c>
      <c r="R39" s="65"/>
      <c r="S39" s="66"/>
      <c r="T39" s="60" t="s">
        <v>36</v>
      </c>
      <c r="U39" s="20"/>
      <c r="V39" s="64"/>
    </row>
    <row r="40" s="3" customFormat="1" ht="30.75" customHeight="1" spans="1:22">
      <c r="A40" s="14">
        <v>36</v>
      </c>
      <c r="B40" s="16" t="s">
        <v>30</v>
      </c>
      <c r="C40" s="28"/>
      <c r="D40" s="18"/>
      <c r="E40" s="18" t="s">
        <v>89</v>
      </c>
      <c r="F40" s="18" t="s">
        <v>90</v>
      </c>
      <c r="G40" s="18" t="s">
        <v>41</v>
      </c>
      <c r="H40" s="19" t="s">
        <v>35</v>
      </c>
      <c r="I40" s="19">
        <v>1</v>
      </c>
      <c r="J40" s="20">
        <v>1</v>
      </c>
      <c r="K40" s="48"/>
      <c r="L40" s="48"/>
      <c r="M40" s="19">
        <f t="shared" si="2"/>
        <v>1</v>
      </c>
      <c r="N40" s="49"/>
      <c r="O40" s="49"/>
      <c r="P40" s="44">
        <v>1150</v>
      </c>
      <c r="Q40" s="58">
        <f t="shared" si="3"/>
        <v>1150</v>
      </c>
      <c r="R40" s="65"/>
      <c r="S40" s="67"/>
      <c r="T40" s="60" t="s">
        <v>36</v>
      </c>
      <c r="U40" s="68"/>
      <c r="V40" s="69"/>
    </row>
    <row r="41" s="2" customFormat="1" ht="30.75" customHeight="1" spans="1:22">
      <c r="A41" s="14">
        <v>37</v>
      </c>
      <c r="B41" s="16" t="s">
        <v>30</v>
      </c>
      <c r="C41" s="27"/>
      <c r="D41" s="18">
        <v>4100000052</v>
      </c>
      <c r="E41" s="18" t="s">
        <v>42</v>
      </c>
      <c r="F41" s="18" t="s">
        <v>91</v>
      </c>
      <c r="G41" s="18" t="s">
        <v>44</v>
      </c>
      <c r="H41" s="19" t="s">
        <v>35</v>
      </c>
      <c r="I41" s="19">
        <v>1</v>
      </c>
      <c r="J41" s="19">
        <v>1</v>
      </c>
      <c r="K41" s="45"/>
      <c r="L41" s="45"/>
      <c r="M41" s="19">
        <f t="shared" si="2"/>
        <v>1</v>
      </c>
      <c r="N41" s="43"/>
      <c r="O41" s="43"/>
      <c r="P41" s="44">
        <v>220</v>
      </c>
      <c r="Q41" s="58">
        <f t="shared" si="3"/>
        <v>220</v>
      </c>
      <c r="R41" s="65"/>
      <c r="S41" s="66"/>
      <c r="T41" s="60" t="s">
        <v>36</v>
      </c>
      <c r="U41" s="20"/>
      <c r="V41" s="64"/>
    </row>
    <row r="42" s="2" customFormat="1" ht="30.75" customHeight="1" spans="1:22">
      <c r="A42" s="14">
        <v>38</v>
      </c>
      <c r="B42" s="16" t="s">
        <v>30</v>
      </c>
      <c r="C42" s="27"/>
      <c r="D42" s="18">
        <v>4201000054</v>
      </c>
      <c r="E42" s="18" t="s">
        <v>84</v>
      </c>
      <c r="F42" s="18" t="s">
        <v>85</v>
      </c>
      <c r="G42" s="18" t="s">
        <v>47</v>
      </c>
      <c r="H42" s="20" t="s">
        <v>35</v>
      </c>
      <c r="I42" s="33">
        <v>1</v>
      </c>
      <c r="J42" s="19">
        <v>1</v>
      </c>
      <c r="K42" s="45"/>
      <c r="L42" s="45"/>
      <c r="M42" s="19">
        <f t="shared" si="2"/>
        <v>1</v>
      </c>
      <c r="N42" s="46"/>
      <c r="O42" s="46"/>
      <c r="P42" s="47">
        <v>600</v>
      </c>
      <c r="Q42" s="58">
        <f t="shared" si="3"/>
        <v>600</v>
      </c>
      <c r="R42" s="65"/>
      <c r="S42" s="66"/>
      <c r="T42" s="60" t="s">
        <v>36</v>
      </c>
      <c r="U42" s="20"/>
      <c r="V42" s="64"/>
    </row>
    <row r="43" s="2" customFormat="1" ht="30.75" customHeight="1" spans="1:22">
      <c r="A43" s="14">
        <v>39</v>
      </c>
      <c r="B43" s="16" t="s">
        <v>30</v>
      </c>
      <c r="C43" s="29"/>
      <c r="D43" s="18">
        <v>4202000017</v>
      </c>
      <c r="E43" s="18" t="s">
        <v>50</v>
      </c>
      <c r="F43" s="18" t="s">
        <v>51</v>
      </c>
      <c r="G43" s="18" t="s">
        <v>47</v>
      </c>
      <c r="H43" s="20" t="s">
        <v>35</v>
      </c>
      <c r="I43" s="33">
        <v>1</v>
      </c>
      <c r="J43" s="19">
        <v>1</v>
      </c>
      <c r="K43" s="45"/>
      <c r="L43" s="45"/>
      <c r="M43" s="19">
        <f t="shared" si="2"/>
        <v>1</v>
      </c>
      <c r="N43" s="46"/>
      <c r="O43" s="46"/>
      <c r="P43" s="47">
        <v>10</v>
      </c>
      <c r="Q43" s="58">
        <f t="shared" si="3"/>
        <v>10</v>
      </c>
      <c r="R43" s="65"/>
      <c r="S43" s="66"/>
      <c r="T43" s="60" t="s">
        <v>36</v>
      </c>
      <c r="U43" s="20"/>
      <c r="V43" s="64"/>
    </row>
    <row r="44" s="2" customFormat="1" ht="30.75" customHeight="1" spans="1:22">
      <c r="A44" s="14">
        <v>40</v>
      </c>
      <c r="B44" s="16" t="s">
        <v>30</v>
      </c>
      <c r="C44" s="26" t="s">
        <v>92</v>
      </c>
      <c r="D44" s="18">
        <v>4202000029</v>
      </c>
      <c r="E44" s="18" t="s">
        <v>32</v>
      </c>
      <c r="F44" s="18" t="s">
        <v>33</v>
      </c>
      <c r="G44" s="18" t="s">
        <v>34</v>
      </c>
      <c r="H44" s="19" t="s">
        <v>35</v>
      </c>
      <c r="I44" s="19">
        <v>1</v>
      </c>
      <c r="J44" s="20">
        <v>1</v>
      </c>
      <c r="K44" s="42"/>
      <c r="L44" s="42"/>
      <c r="M44" s="19">
        <f t="shared" si="2"/>
        <v>1</v>
      </c>
      <c r="N44" s="43"/>
      <c r="O44" s="43"/>
      <c r="P44" s="44">
        <v>60</v>
      </c>
      <c r="Q44" s="58">
        <f t="shared" si="3"/>
        <v>60</v>
      </c>
      <c r="R44" s="70"/>
      <c r="S44" s="66"/>
      <c r="T44" s="60" t="s">
        <v>36</v>
      </c>
      <c r="U44" s="20"/>
      <c r="V44" s="64"/>
    </row>
    <row r="45" s="2" customFormat="1" ht="30.75" customHeight="1" spans="1:22">
      <c r="A45" s="14">
        <v>41</v>
      </c>
      <c r="B45" s="16" t="s">
        <v>30</v>
      </c>
      <c r="C45" s="27"/>
      <c r="D45" s="18">
        <v>3001000113</v>
      </c>
      <c r="E45" s="18" t="s">
        <v>37</v>
      </c>
      <c r="F45" s="18" t="s">
        <v>38</v>
      </c>
      <c r="G45" s="18" t="s">
        <v>34</v>
      </c>
      <c r="H45" s="19" t="s">
        <v>35</v>
      </c>
      <c r="I45" s="19">
        <v>1</v>
      </c>
      <c r="J45" s="19">
        <v>1</v>
      </c>
      <c r="K45" s="42"/>
      <c r="L45" s="42"/>
      <c r="M45" s="19">
        <f t="shared" si="2"/>
        <v>1</v>
      </c>
      <c r="N45" s="43"/>
      <c r="O45" s="43"/>
      <c r="P45" s="44">
        <v>80</v>
      </c>
      <c r="Q45" s="58">
        <f t="shared" si="3"/>
        <v>80</v>
      </c>
      <c r="R45" s="70"/>
      <c r="S45" s="66"/>
      <c r="T45" s="60" t="s">
        <v>36</v>
      </c>
      <c r="U45" s="20"/>
      <c r="V45" s="64"/>
    </row>
    <row r="46" s="2" customFormat="1" ht="30.75" customHeight="1" spans="1:22">
      <c r="A46" s="14">
        <v>42</v>
      </c>
      <c r="B46" s="16" t="s">
        <v>30</v>
      </c>
      <c r="C46" s="27"/>
      <c r="D46" s="18">
        <v>4000000019</v>
      </c>
      <c r="E46" s="18" t="s">
        <v>93</v>
      </c>
      <c r="F46" s="18" t="s">
        <v>94</v>
      </c>
      <c r="G46" s="18" t="s">
        <v>95</v>
      </c>
      <c r="H46" s="19" t="s">
        <v>35</v>
      </c>
      <c r="I46" s="19">
        <v>1</v>
      </c>
      <c r="J46" s="19">
        <v>1</v>
      </c>
      <c r="K46" s="42"/>
      <c r="L46" s="42"/>
      <c r="M46" s="19">
        <f t="shared" si="2"/>
        <v>1</v>
      </c>
      <c r="N46" s="43"/>
      <c r="O46" s="43"/>
      <c r="P46" s="44">
        <v>1700</v>
      </c>
      <c r="Q46" s="58">
        <f t="shared" si="3"/>
        <v>1700</v>
      </c>
      <c r="R46" s="70"/>
      <c r="S46" s="66"/>
      <c r="T46" s="60" t="s">
        <v>36</v>
      </c>
      <c r="U46" s="20"/>
      <c r="V46" s="64"/>
    </row>
    <row r="47" s="3" customFormat="1" ht="30.75" customHeight="1" spans="1:22">
      <c r="A47" s="14">
        <v>43</v>
      </c>
      <c r="B47" s="16" t="s">
        <v>30</v>
      </c>
      <c r="C47" s="27"/>
      <c r="D47" s="18">
        <v>4100000029</v>
      </c>
      <c r="E47" s="18" t="s">
        <v>42</v>
      </c>
      <c r="F47" s="18" t="s">
        <v>96</v>
      </c>
      <c r="G47" s="18" t="s">
        <v>44</v>
      </c>
      <c r="H47" s="19" t="s">
        <v>35</v>
      </c>
      <c r="I47" s="19">
        <v>1</v>
      </c>
      <c r="J47" s="19">
        <v>1</v>
      </c>
      <c r="K47" s="42"/>
      <c r="L47" s="42"/>
      <c r="M47" s="19">
        <f t="shared" si="2"/>
        <v>1</v>
      </c>
      <c r="N47" s="43"/>
      <c r="O47" s="43"/>
      <c r="P47" s="44">
        <v>450</v>
      </c>
      <c r="Q47" s="58">
        <f t="shared" si="3"/>
        <v>450</v>
      </c>
      <c r="R47" s="70"/>
      <c r="S47" s="67"/>
      <c r="T47" s="60" t="s">
        <v>36</v>
      </c>
      <c r="U47" s="68"/>
      <c r="V47" s="69"/>
    </row>
    <row r="48" s="2" customFormat="1" ht="30.75" customHeight="1" spans="1:22">
      <c r="A48" s="14">
        <v>44</v>
      </c>
      <c r="B48" s="16" t="s">
        <v>30</v>
      </c>
      <c r="C48" s="27"/>
      <c r="D48" s="18">
        <v>4201000055</v>
      </c>
      <c r="E48" s="18" t="s">
        <v>45</v>
      </c>
      <c r="F48" s="18" t="s">
        <v>97</v>
      </c>
      <c r="G48" s="18" t="s">
        <v>47</v>
      </c>
      <c r="H48" s="19" t="s">
        <v>35</v>
      </c>
      <c r="I48" s="19">
        <v>1</v>
      </c>
      <c r="J48" s="20">
        <v>1</v>
      </c>
      <c r="K48" s="42"/>
      <c r="L48" s="42"/>
      <c r="M48" s="19">
        <f t="shared" si="2"/>
        <v>1</v>
      </c>
      <c r="N48" s="43"/>
      <c r="O48" s="43"/>
      <c r="P48" s="44">
        <v>650</v>
      </c>
      <c r="Q48" s="58">
        <f t="shared" si="3"/>
        <v>650</v>
      </c>
      <c r="R48" s="70"/>
      <c r="S48" s="66"/>
      <c r="T48" s="60" t="s">
        <v>36</v>
      </c>
      <c r="U48" s="20"/>
      <c r="V48" s="64"/>
    </row>
    <row r="49" s="2" customFormat="1" ht="30.75" customHeight="1" spans="1:22">
      <c r="A49" s="14">
        <v>45</v>
      </c>
      <c r="B49" s="16" t="s">
        <v>30</v>
      </c>
      <c r="C49" s="27"/>
      <c r="D49" s="18">
        <v>4202000017</v>
      </c>
      <c r="E49" s="18" t="s">
        <v>50</v>
      </c>
      <c r="F49" s="18" t="s">
        <v>51</v>
      </c>
      <c r="G49" s="18" t="s">
        <v>47</v>
      </c>
      <c r="H49" s="19" t="s">
        <v>35</v>
      </c>
      <c r="I49" s="19">
        <v>1</v>
      </c>
      <c r="J49" s="19">
        <v>1</v>
      </c>
      <c r="K49" s="42"/>
      <c r="L49" s="42"/>
      <c r="M49" s="19">
        <f t="shared" si="2"/>
        <v>1</v>
      </c>
      <c r="N49" s="43"/>
      <c r="O49" s="43"/>
      <c r="P49" s="44">
        <v>10</v>
      </c>
      <c r="Q49" s="58">
        <f t="shared" si="3"/>
        <v>10</v>
      </c>
      <c r="R49" s="70"/>
      <c r="S49" s="66"/>
      <c r="T49" s="60" t="s">
        <v>36</v>
      </c>
      <c r="U49" s="20"/>
      <c r="V49" s="64"/>
    </row>
    <row r="50" s="3" customFormat="1" ht="30.75" customHeight="1" spans="1:22">
      <c r="A50" s="14">
        <v>46</v>
      </c>
      <c r="B50" s="16" t="s">
        <v>30</v>
      </c>
      <c r="C50" s="27"/>
      <c r="D50" s="30">
        <v>4202000020</v>
      </c>
      <c r="E50" s="30" t="s">
        <v>53</v>
      </c>
      <c r="F50" s="30" t="s">
        <v>54</v>
      </c>
      <c r="G50" s="30" t="s">
        <v>47</v>
      </c>
      <c r="H50" s="31" t="s">
        <v>35</v>
      </c>
      <c r="I50" s="31">
        <v>1</v>
      </c>
      <c r="J50" s="19">
        <v>1</v>
      </c>
      <c r="K50" s="50"/>
      <c r="L50" s="50"/>
      <c r="M50" s="19">
        <f t="shared" si="2"/>
        <v>1</v>
      </c>
      <c r="N50" s="51"/>
      <c r="O50" s="51"/>
      <c r="P50" s="52">
        <v>980</v>
      </c>
      <c r="Q50" s="58">
        <f t="shared" si="3"/>
        <v>980</v>
      </c>
      <c r="R50" s="65" t="s">
        <v>98</v>
      </c>
      <c r="S50" s="67"/>
      <c r="T50" s="60"/>
      <c r="U50" s="68"/>
      <c r="V50" s="69"/>
    </row>
    <row r="51" s="2" customFormat="1" ht="30.75" customHeight="1" spans="1:22">
      <c r="A51" s="14">
        <v>47</v>
      </c>
      <c r="B51" s="16" t="s">
        <v>30</v>
      </c>
      <c r="C51" s="32"/>
      <c r="D51" s="18">
        <v>4400000048</v>
      </c>
      <c r="E51" s="18" t="s">
        <v>99</v>
      </c>
      <c r="F51" s="18" t="s">
        <v>100</v>
      </c>
      <c r="G51" s="18" t="s">
        <v>59</v>
      </c>
      <c r="H51" s="20" t="s">
        <v>35</v>
      </c>
      <c r="I51" s="33">
        <v>2</v>
      </c>
      <c r="J51" s="19">
        <v>1</v>
      </c>
      <c r="K51" s="45"/>
      <c r="L51" s="45"/>
      <c r="M51" s="19">
        <f t="shared" si="2"/>
        <v>2</v>
      </c>
      <c r="N51" s="46"/>
      <c r="O51" s="46"/>
      <c r="P51" s="47">
        <v>600</v>
      </c>
      <c r="Q51" s="58">
        <f t="shared" si="3"/>
        <v>1200</v>
      </c>
      <c r="R51" s="65" t="s">
        <v>101</v>
      </c>
      <c r="S51" s="66"/>
      <c r="T51" s="60" t="s">
        <v>36</v>
      </c>
      <c r="U51" s="20"/>
      <c r="V51" s="64"/>
    </row>
    <row r="52" s="2" customFormat="1" ht="47" customHeight="1" spans="1:22">
      <c r="A52" s="14">
        <v>48</v>
      </c>
      <c r="B52" s="16" t="s">
        <v>30</v>
      </c>
      <c r="C52" s="32"/>
      <c r="D52" s="18">
        <v>4300000070</v>
      </c>
      <c r="E52" s="20" t="s">
        <v>102</v>
      </c>
      <c r="F52" s="20" t="s">
        <v>103</v>
      </c>
      <c r="G52" s="20" t="s">
        <v>104</v>
      </c>
      <c r="H52" s="20" t="s">
        <v>35</v>
      </c>
      <c r="I52" s="33">
        <v>2</v>
      </c>
      <c r="J52" s="20">
        <v>1</v>
      </c>
      <c r="K52" s="45"/>
      <c r="L52" s="45"/>
      <c r="M52" s="19">
        <f t="shared" si="2"/>
        <v>2</v>
      </c>
      <c r="N52" s="46"/>
      <c r="O52" s="46"/>
      <c r="P52" s="47">
        <v>12000</v>
      </c>
      <c r="Q52" s="58">
        <f t="shared" si="3"/>
        <v>24000</v>
      </c>
      <c r="R52" s="65" t="s">
        <v>105</v>
      </c>
      <c r="S52" s="66"/>
      <c r="T52" s="60"/>
      <c r="U52" s="20"/>
      <c r="V52" s="64"/>
    </row>
    <row r="53" s="4" customFormat="1" ht="40.5" customHeight="1" spans="1:22">
      <c r="A53" s="14">
        <v>49</v>
      </c>
      <c r="B53" s="16" t="s">
        <v>30</v>
      </c>
      <c r="C53" s="32"/>
      <c r="D53" s="18">
        <v>4300000069</v>
      </c>
      <c r="E53" s="18" t="s">
        <v>102</v>
      </c>
      <c r="F53" s="18" t="s">
        <v>106</v>
      </c>
      <c r="G53" s="18" t="s">
        <v>104</v>
      </c>
      <c r="H53" s="33" t="s">
        <v>35</v>
      </c>
      <c r="I53" s="33">
        <v>1</v>
      </c>
      <c r="J53" s="19">
        <v>1</v>
      </c>
      <c r="K53" s="45"/>
      <c r="L53" s="45"/>
      <c r="M53" s="19">
        <f t="shared" si="2"/>
        <v>1</v>
      </c>
      <c r="N53" s="20"/>
      <c r="O53" s="53"/>
      <c r="P53" s="47">
        <v>12000</v>
      </c>
      <c r="Q53" s="58">
        <f t="shared" si="3"/>
        <v>12000</v>
      </c>
      <c r="R53" s="65" t="s">
        <v>107</v>
      </c>
      <c r="S53" s="66"/>
      <c r="T53" s="60" t="s">
        <v>36</v>
      </c>
      <c r="U53" s="45"/>
      <c r="V53" s="71"/>
    </row>
    <row r="54" s="4" customFormat="1" spans="1:22">
      <c r="A54" s="14">
        <v>50</v>
      </c>
      <c r="B54" s="16" t="s">
        <v>30</v>
      </c>
      <c r="C54" s="32"/>
      <c r="D54" s="18">
        <v>3001000043</v>
      </c>
      <c r="E54" s="34" t="s">
        <v>108</v>
      </c>
      <c r="F54" s="34" t="s">
        <v>109</v>
      </c>
      <c r="G54" s="34" t="s">
        <v>110</v>
      </c>
      <c r="H54" s="33" t="s">
        <v>35</v>
      </c>
      <c r="I54" s="33">
        <v>3</v>
      </c>
      <c r="J54" s="19">
        <v>1</v>
      </c>
      <c r="K54" s="45"/>
      <c r="L54" s="45"/>
      <c r="M54" s="19">
        <f t="shared" si="2"/>
        <v>3</v>
      </c>
      <c r="N54" s="20"/>
      <c r="O54" s="53"/>
      <c r="P54" s="47">
        <v>230</v>
      </c>
      <c r="Q54" s="58">
        <f t="shared" si="3"/>
        <v>690</v>
      </c>
      <c r="R54" s="65"/>
      <c r="S54" s="66"/>
      <c r="T54" s="60" t="s">
        <v>36</v>
      </c>
      <c r="U54" s="45"/>
      <c r="V54" s="71"/>
    </row>
    <row r="55" s="4" customFormat="1" ht="35" spans="1:22">
      <c r="A55" s="14">
        <v>51</v>
      </c>
      <c r="B55" s="16" t="s">
        <v>30</v>
      </c>
      <c r="C55" s="32"/>
      <c r="D55" s="18">
        <v>3001000042</v>
      </c>
      <c r="E55" s="34" t="s">
        <v>111</v>
      </c>
      <c r="F55" s="34" t="s">
        <v>112</v>
      </c>
      <c r="G55" s="20" t="s">
        <v>110</v>
      </c>
      <c r="H55" s="20" t="s">
        <v>35</v>
      </c>
      <c r="I55" s="33">
        <v>6</v>
      </c>
      <c r="J55" s="19">
        <v>1</v>
      </c>
      <c r="K55" s="45"/>
      <c r="L55" s="45"/>
      <c r="M55" s="19">
        <f t="shared" si="2"/>
        <v>6</v>
      </c>
      <c r="N55" s="20"/>
      <c r="O55" s="20"/>
      <c r="P55" s="47">
        <v>100</v>
      </c>
      <c r="Q55" s="58">
        <f t="shared" si="3"/>
        <v>600</v>
      </c>
      <c r="R55" s="65" t="s">
        <v>113</v>
      </c>
      <c r="S55" s="66"/>
      <c r="T55" s="60" t="s">
        <v>36</v>
      </c>
      <c r="U55" s="45"/>
      <c r="V55" s="71"/>
    </row>
    <row r="56" s="4" customFormat="1" spans="1:22">
      <c r="A56" s="14">
        <v>52</v>
      </c>
      <c r="B56" s="16" t="s">
        <v>30</v>
      </c>
      <c r="C56" s="32"/>
      <c r="D56" s="18">
        <v>2004020004</v>
      </c>
      <c r="E56" s="34" t="s">
        <v>114</v>
      </c>
      <c r="F56" s="34" t="s">
        <v>115</v>
      </c>
      <c r="G56" s="20" t="s">
        <v>116</v>
      </c>
      <c r="H56" s="20" t="s">
        <v>35</v>
      </c>
      <c r="I56" s="33">
        <v>3</v>
      </c>
      <c r="J56" s="20">
        <v>1</v>
      </c>
      <c r="K56" s="45"/>
      <c r="L56" s="45"/>
      <c r="M56" s="19">
        <f t="shared" si="2"/>
        <v>3</v>
      </c>
      <c r="N56" s="20"/>
      <c r="O56" s="20"/>
      <c r="P56" s="47">
        <v>900</v>
      </c>
      <c r="Q56" s="58">
        <f t="shared" si="3"/>
        <v>2700</v>
      </c>
      <c r="R56" s="65"/>
      <c r="S56" s="66"/>
      <c r="T56" s="60" t="s">
        <v>36</v>
      </c>
      <c r="U56" s="45"/>
      <c r="V56" s="71"/>
    </row>
    <row r="57" s="4" customFormat="1" spans="1:22">
      <c r="A57" s="14">
        <v>53</v>
      </c>
      <c r="B57" s="16" t="s">
        <v>30</v>
      </c>
      <c r="C57" s="32"/>
      <c r="D57" s="35">
        <v>2004020007</v>
      </c>
      <c r="E57" s="18" t="s">
        <v>117</v>
      </c>
      <c r="F57" s="18" t="s">
        <v>118</v>
      </c>
      <c r="G57" s="19" t="s">
        <v>119</v>
      </c>
      <c r="H57" s="20" t="s">
        <v>35</v>
      </c>
      <c r="I57" s="33">
        <v>3</v>
      </c>
      <c r="J57" s="19">
        <v>1</v>
      </c>
      <c r="K57" s="45"/>
      <c r="L57" s="45"/>
      <c r="M57" s="19">
        <f t="shared" si="2"/>
        <v>3</v>
      </c>
      <c r="N57" s="20"/>
      <c r="O57" s="20"/>
      <c r="P57" s="47">
        <v>80</v>
      </c>
      <c r="Q57" s="58">
        <f t="shared" si="3"/>
        <v>240</v>
      </c>
      <c r="R57" s="65"/>
      <c r="S57" s="66"/>
      <c r="T57" s="60" t="s">
        <v>36</v>
      </c>
      <c r="U57" s="45"/>
      <c r="V57" s="71"/>
    </row>
    <row r="58" spans="1:21">
      <c r="A58" s="14">
        <v>54</v>
      </c>
      <c r="B58" s="16" t="s">
        <v>30</v>
      </c>
      <c r="C58" s="32"/>
      <c r="D58" s="36">
        <v>2004030001</v>
      </c>
      <c r="E58" s="18" t="s">
        <v>120</v>
      </c>
      <c r="F58" s="30" t="s">
        <v>121</v>
      </c>
      <c r="G58" s="30" t="s">
        <v>122</v>
      </c>
      <c r="H58" s="20" t="s">
        <v>35</v>
      </c>
      <c r="I58" s="33">
        <v>3</v>
      </c>
      <c r="J58" s="19">
        <v>1</v>
      </c>
      <c r="K58" s="45"/>
      <c r="L58" s="45"/>
      <c r="M58" s="19">
        <f t="shared" si="2"/>
        <v>3</v>
      </c>
      <c r="N58" s="20"/>
      <c r="O58" s="20"/>
      <c r="P58" s="47">
        <v>100</v>
      </c>
      <c r="Q58" s="58">
        <f t="shared" si="3"/>
        <v>300</v>
      </c>
      <c r="R58" s="65"/>
      <c r="S58" s="66"/>
      <c r="T58" s="60" t="s">
        <v>36</v>
      </c>
      <c r="U58" s="45"/>
    </row>
    <row r="59" ht="35" spans="1:21">
      <c r="A59" s="14">
        <v>55</v>
      </c>
      <c r="B59" s="16" t="s">
        <v>30</v>
      </c>
      <c r="C59" s="32"/>
      <c r="D59" s="18">
        <v>3001000041</v>
      </c>
      <c r="E59" s="18" t="s">
        <v>123</v>
      </c>
      <c r="F59" s="18" t="s">
        <v>124</v>
      </c>
      <c r="G59" s="18" t="s">
        <v>110</v>
      </c>
      <c r="H59" s="20" t="s">
        <v>35</v>
      </c>
      <c r="I59" s="33">
        <v>1</v>
      </c>
      <c r="J59" s="19">
        <v>1</v>
      </c>
      <c r="K59" s="45"/>
      <c r="L59" s="45"/>
      <c r="M59" s="19">
        <f t="shared" si="2"/>
        <v>1</v>
      </c>
      <c r="N59" s="20"/>
      <c r="O59" s="20"/>
      <c r="P59" s="47">
        <v>135</v>
      </c>
      <c r="Q59" s="58">
        <f t="shared" si="3"/>
        <v>135</v>
      </c>
      <c r="R59" s="65" t="s">
        <v>125</v>
      </c>
      <c r="S59" s="72"/>
      <c r="T59" s="60" t="s">
        <v>36</v>
      </c>
      <c r="U59" s="73"/>
    </row>
    <row r="60" spans="1:21">
      <c r="A60" s="14">
        <v>56</v>
      </c>
      <c r="B60" s="16" t="s">
        <v>30</v>
      </c>
      <c r="C60" s="32"/>
      <c r="D60" s="37">
        <v>2402000007</v>
      </c>
      <c r="E60" s="18" t="s">
        <v>126</v>
      </c>
      <c r="F60" s="30" t="s">
        <v>127</v>
      </c>
      <c r="G60" s="31" t="s">
        <v>128</v>
      </c>
      <c r="H60" s="31" t="s">
        <v>35</v>
      </c>
      <c r="I60" s="33">
        <v>2</v>
      </c>
      <c r="J60" s="20">
        <v>1</v>
      </c>
      <c r="K60" s="45"/>
      <c r="L60" s="45"/>
      <c r="M60" s="19">
        <f t="shared" si="2"/>
        <v>2</v>
      </c>
      <c r="N60" s="20"/>
      <c r="O60" s="20"/>
      <c r="P60" s="47">
        <v>50</v>
      </c>
      <c r="Q60" s="58">
        <f t="shared" si="3"/>
        <v>100</v>
      </c>
      <c r="R60" s="65"/>
      <c r="S60" s="74"/>
      <c r="T60" s="60" t="s">
        <v>36</v>
      </c>
      <c r="U60" s="73"/>
    </row>
    <row r="61" spans="1:15">
      <c r="A61" s="38" t="s">
        <v>129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N61" s="5"/>
      <c r="O61" s="5"/>
    </row>
    <row r="62" spans="3:17">
      <c r="C62" s="5"/>
      <c r="N62" s="5"/>
      <c r="O62" s="5"/>
      <c r="P62" s="7" t="s">
        <v>25</v>
      </c>
      <c r="Q62" s="7">
        <f>SUM(Q20:Q60)</f>
        <v>122095</v>
      </c>
    </row>
    <row r="63" spans="3:15">
      <c r="C63" s="5"/>
      <c r="N63" s="5"/>
      <c r="O63" s="5"/>
    </row>
    <row r="64" spans="3:15">
      <c r="C64" s="5"/>
      <c r="N64" s="5"/>
      <c r="O64" s="5"/>
    </row>
    <row r="65" spans="3:15">
      <c r="C65" s="5"/>
      <c r="E65" s="5" t="s">
        <v>130</v>
      </c>
      <c r="N65" s="5"/>
      <c r="O65" s="5"/>
    </row>
    <row r="66" spans="3:15">
      <c r="C66" s="5"/>
      <c r="N66" s="5"/>
      <c r="O66" s="5"/>
    </row>
    <row r="67" spans="3:15">
      <c r="C67" s="5"/>
      <c r="N67" s="5"/>
      <c r="O67" s="5"/>
    </row>
    <row r="68" spans="3:15">
      <c r="C68" s="5"/>
      <c r="N68" s="5"/>
      <c r="O68" s="5"/>
    </row>
    <row r="69" spans="3:15">
      <c r="C69" s="5"/>
      <c r="N69" s="5"/>
      <c r="O69" s="5"/>
    </row>
    <row r="70" spans="3:15">
      <c r="C70" s="5"/>
      <c r="N70" s="5"/>
      <c r="O70" s="5"/>
    </row>
    <row r="71" spans="3:15">
      <c r="C71" s="5"/>
      <c r="N71" s="5"/>
      <c r="O71" s="5"/>
    </row>
    <row r="72" spans="3:15">
      <c r="C72" s="5"/>
      <c r="N72" s="5"/>
      <c r="O72" s="5"/>
    </row>
    <row r="73" spans="3:15">
      <c r="C73" s="5"/>
      <c r="N73" s="5"/>
      <c r="O73" s="5"/>
    </row>
    <row r="74" spans="3:15">
      <c r="C74" s="5"/>
      <c r="N74" s="5"/>
      <c r="O74" s="5"/>
    </row>
    <row r="75" spans="3:15">
      <c r="C75" s="5"/>
      <c r="N75" s="5"/>
      <c r="O75" s="5"/>
    </row>
    <row r="76" spans="3:15">
      <c r="C76" s="5"/>
      <c r="N76" s="5"/>
      <c r="O76" s="5"/>
    </row>
    <row r="77" spans="3:15">
      <c r="C77" s="5"/>
      <c r="N77" s="5"/>
      <c r="O77" s="5"/>
    </row>
    <row r="78" spans="3:15">
      <c r="C78" s="5"/>
      <c r="N78" s="5"/>
      <c r="O78" s="5"/>
    </row>
    <row r="79" spans="3:15">
      <c r="C79" s="5"/>
      <c r="N79" s="5"/>
      <c r="O79" s="5"/>
    </row>
    <row r="80" spans="3:15">
      <c r="C80" s="5"/>
      <c r="N80" s="5"/>
      <c r="O80" s="5"/>
    </row>
    <row r="81" spans="3:15">
      <c r="C81" s="5"/>
      <c r="N81" s="5"/>
      <c r="O81" s="5"/>
    </row>
    <row r="82" spans="3:15">
      <c r="C82" s="5"/>
      <c r="N82" s="5"/>
      <c r="O82" s="5"/>
    </row>
    <row r="83" spans="3:15">
      <c r="C83" s="5"/>
      <c r="N83" s="5"/>
      <c r="O83" s="5"/>
    </row>
    <row r="84" spans="3:15">
      <c r="C84" s="5"/>
      <c r="N84" s="5"/>
      <c r="O84" s="5"/>
    </row>
    <row r="85" spans="3:15">
      <c r="C85" s="5"/>
      <c r="N85" s="5"/>
      <c r="O85" s="5"/>
    </row>
    <row r="86" spans="3:15">
      <c r="C86" s="5"/>
      <c r="N86" s="5"/>
      <c r="O86" s="5"/>
    </row>
    <row r="87" spans="3:15">
      <c r="C87" s="5"/>
      <c r="N87" s="5"/>
      <c r="O87" s="5"/>
    </row>
    <row r="88" spans="3:15">
      <c r="C88" s="5"/>
      <c r="N88" s="5"/>
      <c r="O88" s="5"/>
    </row>
    <row r="89" spans="3:15">
      <c r="C89" s="5"/>
      <c r="N89" s="5"/>
      <c r="O89" s="5"/>
    </row>
    <row r="90" spans="3:15">
      <c r="C90" s="5"/>
      <c r="N90" s="5"/>
      <c r="O90" s="5"/>
    </row>
    <row r="91" spans="3:15">
      <c r="C91" s="5"/>
      <c r="N91" s="5"/>
      <c r="O91" s="5"/>
    </row>
    <row r="92" spans="3:15">
      <c r="C92" s="5"/>
      <c r="N92" s="5"/>
      <c r="O92" s="5"/>
    </row>
    <row r="93" spans="3:15">
      <c r="C93" s="5"/>
      <c r="N93" s="5"/>
      <c r="O93" s="5"/>
    </row>
    <row r="94" spans="3:15">
      <c r="C94" s="5"/>
      <c r="N94" s="5"/>
      <c r="O94" s="5"/>
    </row>
    <row r="95" spans="3:15">
      <c r="C95" s="5"/>
      <c r="N95" s="5"/>
      <c r="O95" s="5"/>
    </row>
    <row r="96" spans="3:15">
      <c r="C96" s="5"/>
      <c r="N96" s="5"/>
      <c r="O96" s="5"/>
    </row>
    <row r="97" spans="3:15">
      <c r="C97" s="5"/>
      <c r="N97" s="5"/>
      <c r="O97" s="5"/>
    </row>
    <row r="98" spans="3:15">
      <c r="C98" s="5"/>
      <c r="N98" s="5"/>
      <c r="O98" s="5"/>
    </row>
    <row r="99" spans="3:15">
      <c r="C99" s="5"/>
      <c r="N99" s="5"/>
      <c r="O99" s="5"/>
    </row>
    <row r="100" spans="3:15">
      <c r="C100" s="5"/>
      <c r="N100" s="5"/>
      <c r="O100" s="5"/>
    </row>
    <row r="101" spans="3:15">
      <c r="C101" s="5"/>
      <c r="N101" s="5"/>
      <c r="O101" s="5"/>
    </row>
    <row r="102" spans="3:15">
      <c r="C102" s="5"/>
      <c r="N102" s="5"/>
      <c r="O102" s="5"/>
    </row>
    <row r="103" spans="3:15">
      <c r="C103" s="5"/>
      <c r="N103" s="5"/>
      <c r="O103" s="5"/>
    </row>
    <row r="104" spans="3:15">
      <c r="C104" s="5"/>
      <c r="N104" s="5"/>
      <c r="O104" s="5"/>
    </row>
    <row r="105" spans="3:15">
      <c r="C105" s="5"/>
      <c r="N105" s="5"/>
      <c r="O105" s="5"/>
    </row>
    <row r="106" spans="3:15">
      <c r="C106" s="5"/>
      <c r="N106" s="5"/>
      <c r="O106" s="5"/>
    </row>
    <row r="107" spans="3:15">
      <c r="C107" s="5"/>
      <c r="N107" s="5"/>
      <c r="O107" s="5"/>
    </row>
    <row r="108" spans="3:15">
      <c r="C108" s="5"/>
      <c r="N108" s="5"/>
      <c r="O108" s="5"/>
    </row>
    <row r="109" spans="3:15">
      <c r="C109" s="5"/>
      <c r="N109" s="5"/>
      <c r="O109" s="5"/>
    </row>
    <row r="110" spans="3:15">
      <c r="C110" s="5"/>
      <c r="N110" s="5"/>
      <c r="O110" s="5"/>
    </row>
    <row r="111" spans="3:15">
      <c r="C111" s="5"/>
      <c r="N111" s="5"/>
      <c r="O111" s="5"/>
    </row>
    <row r="112" spans="3:15">
      <c r="C112" s="5"/>
      <c r="N112" s="5"/>
      <c r="O112" s="5"/>
    </row>
    <row r="113" spans="3:15">
      <c r="C113" s="5"/>
      <c r="N113" s="5"/>
      <c r="O113" s="5"/>
    </row>
    <row r="114" spans="3:15">
      <c r="C114" s="5"/>
      <c r="N114" s="5"/>
      <c r="O114" s="5"/>
    </row>
    <row r="115" spans="3:15">
      <c r="C115" s="5"/>
      <c r="N115" s="5"/>
      <c r="O115" s="5"/>
    </row>
    <row r="116" spans="3:15">
      <c r="C116" s="5"/>
      <c r="N116" s="5"/>
      <c r="O116" s="5"/>
    </row>
    <row r="117" spans="3:15">
      <c r="C117" s="5"/>
      <c r="N117" s="5"/>
      <c r="O117" s="5"/>
    </row>
    <row r="118" spans="3:15">
      <c r="C118" s="5"/>
      <c r="N118" s="5"/>
      <c r="O118" s="5"/>
    </row>
    <row r="119" spans="3:15">
      <c r="C119" s="5"/>
      <c r="N119" s="5"/>
      <c r="O119" s="5"/>
    </row>
    <row r="120" spans="3:15">
      <c r="C120" s="5"/>
      <c r="N120" s="5"/>
      <c r="O120" s="5"/>
    </row>
    <row r="121" spans="3:15">
      <c r="C121" s="5"/>
      <c r="N121" s="5"/>
      <c r="O121" s="5"/>
    </row>
    <row r="122" spans="3:15">
      <c r="C122" s="5"/>
      <c r="N122" s="5"/>
      <c r="O122" s="5"/>
    </row>
    <row r="123" spans="3:15">
      <c r="C123" s="5"/>
      <c r="N123" s="5"/>
      <c r="O123" s="5"/>
    </row>
    <row r="124" spans="3:15">
      <c r="C124" s="5"/>
      <c r="N124" s="5"/>
      <c r="O124" s="5"/>
    </row>
    <row r="125" spans="3:15">
      <c r="C125" s="5"/>
      <c r="N125" s="5"/>
      <c r="O125" s="5"/>
    </row>
    <row r="126" spans="3:15">
      <c r="C126" s="5"/>
      <c r="N126" s="5"/>
      <c r="O126" s="5"/>
    </row>
    <row r="127" spans="3:15">
      <c r="C127" s="5"/>
      <c r="N127" s="5"/>
      <c r="O127" s="5"/>
    </row>
    <row r="128" spans="3:15">
      <c r="C128" s="5"/>
      <c r="N128" s="5"/>
      <c r="O128" s="5"/>
    </row>
    <row r="129" spans="3:15">
      <c r="C129" s="5"/>
      <c r="N129" s="5"/>
      <c r="O129" s="5"/>
    </row>
    <row r="130" spans="3:15">
      <c r="C130" s="5"/>
      <c r="N130" s="5"/>
      <c r="O130" s="5"/>
    </row>
    <row r="131" spans="3:15">
      <c r="C131" s="5"/>
      <c r="N131" s="5"/>
      <c r="O131" s="5"/>
    </row>
    <row r="132" spans="3:15">
      <c r="C132" s="5"/>
      <c r="N132" s="5"/>
      <c r="O132" s="5"/>
    </row>
    <row r="133" spans="3:15">
      <c r="C133" s="5"/>
      <c r="N133" s="5"/>
      <c r="O133" s="5"/>
    </row>
    <row r="134" spans="3:15">
      <c r="C134" s="5"/>
      <c r="N134" s="5"/>
      <c r="O134" s="5"/>
    </row>
    <row r="135" spans="3:15">
      <c r="C135" s="5"/>
      <c r="N135" s="5"/>
      <c r="O135" s="5"/>
    </row>
    <row r="136" spans="3:15">
      <c r="C136" s="5"/>
      <c r="N136" s="5"/>
      <c r="O136" s="5"/>
    </row>
    <row r="137" spans="3:15">
      <c r="C137" s="5"/>
      <c r="N137" s="5"/>
      <c r="O137" s="5"/>
    </row>
    <row r="138" spans="3:15">
      <c r="C138" s="5"/>
      <c r="N138" s="5"/>
      <c r="O138" s="5"/>
    </row>
    <row r="139" spans="3:15">
      <c r="C139" s="5"/>
      <c r="N139" s="5"/>
      <c r="O139" s="5"/>
    </row>
    <row r="140" spans="3:15">
      <c r="C140" s="5"/>
      <c r="N140" s="5"/>
      <c r="O140" s="5"/>
    </row>
    <row r="141" spans="3:15">
      <c r="C141" s="5"/>
      <c r="N141" s="5"/>
      <c r="O141" s="5"/>
    </row>
    <row r="142" spans="3:15">
      <c r="C142" s="5"/>
      <c r="N142" s="5"/>
      <c r="O142" s="5"/>
    </row>
    <row r="143" spans="3:15">
      <c r="C143" s="5"/>
      <c r="N143" s="5"/>
      <c r="O143" s="5"/>
    </row>
    <row r="144" spans="3:15">
      <c r="C144" s="5"/>
      <c r="N144" s="5"/>
      <c r="O144" s="5"/>
    </row>
    <row r="145" spans="3:15">
      <c r="C145" s="5"/>
      <c r="N145" s="5"/>
      <c r="O145" s="5"/>
    </row>
    <row r="146" spans="3:15">
      <c r="C146" s="5"/>
      <c r="N146" s="5"/>
      <c r="O146" s="5"/>
    </row>
    <row r="147" spans="3:15">
      <c r="C147" s="5"/>
      <c r="N147" s="5"/>
      <c r="O147" s="5"/>
    </row>
    <row r="148" spans="3:15">
      <c r="C148" s="5"/>
      <c r="N148" s="5"/>
      <c r="O148" s="5"/>
    </row>
    <row r="149" spans="3:15">
      <c r="C149" s="5"/>
      <c r="N149" s="5"/>
      <c r="O149" s="5"/>
    </row>
    <row r="150" spans="3:15">
      <c r="C150" s="5"/>
      <c r="N150" s="5"/>
      <c r="O150" s="5"/>
    </row>
    <row r="151" spans="3:15">
      <c r="C151" s="5"/>
      <c r="N151" s="5"/>
      <c r="O151" s="5"/>
    </row>
    <row r="152" spans="3:15">
      <c r="C152" s="5"/>
      <c r="N152" s="5"/>
      <c r="O152" s="5"/>
    </row>
    <row r="153" spans="3:15">
      <c r="C153" s="5"/>
      <c r="N153" s="5"/>
      <c r="O153" s="5"/>
    </row>
    <row r="154" spans="3:15">
      <c r="C154" s="5"/>
      <c r="N154" s="5"/>
      <c r="O154" s="5"/>
    </row>
    <row r="155" spans="3:15">
      <c r="C155" s="5"/>
      <c r="N155" s="5"/>
      <c r="O155" s="5"/>
    </row>
    <row r="156" spans="3:15">
      <c r="C156" s="5"/>
      <c r="N156" s="5"/>
      <c r="O156" s="5"/>
    </row>
    <row r="157" spans="3:15">
      <c r="C157" s="5"/>
      <c r="N157" s="5"/>
      <c r="O157" s="5"/>
    </row>
    <row r="158" spans="3:15">
      <c r="C158" s="5"/>
      <c r="N158" s="5"/>
      <c r="O158" s="5"/>
    </row>
    <row r="159" spans="3:15">
      <c r="C159" s="5"/>
      <c r="N159" s="5"/>
      <c r="O159" s="5"/>
    </row>
    <row r="160" spans="3:15">
      <c r="C160" s="5"/>
      <c r="N160" s="5"/>
      <c r="O160" s="5"/>
    </row>
    <row r="161" spans="3:15">
      <c r="C161" s="5"/>
      <c r="N161" s="5"/>
      <c r="O161" s="5"/>
    </row>
    <row r="162" spans="3:15">
      <c r="C162" s="5"/>
      <c r="N162" s="5"/>
      <c r="O162" s="5"/>
    </row>
    <row r="163" spans="3:15">
      <c r="C163" s="5"/>
      <c r="N163" s="5"/>
      <c r="O163" s="5"/>
    </row>
    <row r="164" spans="3:15">
      <c r="C164" s="5"/>
      <c r="N164" s="5"/>
      <c r="O164" s="5"/>
    </row>
    <row r="165" spans="3:15">
      <c r="C165" s="5"/>
      <c r="N165" s="5"/>
      <c r="O165" s="5"/>
    </row>
    <row r="166" spans="3:15">
      <c r="C166" s="5"/>
      <c r="N166" s="5"/>
      <c r="O166" s="5"/>
    </row>
    <row r="167" spans="3:15">
      <c r="C167" s="5"/>
      <c r="N167" s="5"/>
      <c r="O167" s="5"/>
    </row>
    <row r="168" spans="3:15">
      <c r="C168" s="5"/>
      <c r="N168" s="5"/>
      <c r="O168" s="5"/>
    </row>
    <row r="169" spans="3:15">
      <c r="C169" s="5"/>
      <c r="N169" s="5"/>
      <c r="O169" s="5"/>
    </row>
    <row r="170" spans="3:15">
      <c r="C170" s="5"/>
      <c r="N170" s="5"/>
      <c r="O170" s="5"/>
    </row>
    <row r="171" spans="3:15">
      <c r="C171" s="5"/>
      <c r="N171" s="5"/>
      <c r="O171" s="5"/>
    </row>
    <row r="172" spans="3:15">
      <c r="C172" s="5"/>
      <c r="N172" s="5"/>
      <c r="O172" s="5"/>
    </row>
    <row r="173" spans="3:15">
      <c r="C173" s="5"/>
      <c r="N173" s="5"/>
      <c r="O173" s="5"/>
    </row>
    <row r="174" spans="3:15">
      <c r="C174" s="5"/>
      <c r="N174" s="5"/>
      <c r="O174" s="5"/>
    </row>
    <row r="175" spans="3:15">
      <c r="C175" s="5"/>
      <c r="N175" s="5"/>
      <c r="O175" s="5"/>
    </row>
    <row r="176" spans="3:15">
      <c r="C176" s="5"/>
      <c r="N176" s="5"/>
      <c r="O176" s="5"/>
    </row>
    <row r="177" spans="3:15">
      <c r="C177" s="5"/>
      <c r="N177" s="5"/>
      <c r="O177" s="5"/>
    </row>
    <row r="178" spans="3:15">
      <c r="C178" s="5"/>
      <c r="N178" s="5"/>
      <c r="O178" s="5"/>
    </row>
    <row r="179" spans="3:15">
      <c r="C179" s="5"/>
      <c r="N179" s="5"/>
      <c r="O179" s="5"/>
    </row>
    <row r="180" spans="3:15">
      <c r="C180" s="5"/>
      <c r="N180" s="5"/>
      <c r="O180" s="5"/>
    </row>
    <row r="181" spans="3:15">
      <c r="C181" s="5"/>
      <c r="N181" s="5"/>
      <c r="O181" s="5"/>
    </row>
    <row r="182" spans="3:15">
      <c r="C182" s="5"/>
      <c r="N182" s="5"/>
      <c r="O182" s="5"/>
    </row>
    <row r="183" spans="3:15">
      <c r="C183" s="5"/>
      <c r="N183" s="5"/>
      <c r="O183" s="5"/>
    </row>
    <row r="184" spans="3:15">
      <c r="C184" s="5"/>
      <c r="N184" s="5"/>
      <c r="O184" s="5"/>
    </row>
    <row r="185" spans="3:15">
      <c r="C185" s="5"/>
      <c r="N185" s="5"/>
      <c r="O185" s="5"/>
    </row>
    <row r="186" spans="3:15">
      <c r="C186" s="5"/>
      <c r="N186" s="5"/>
      <c r="O186" s="5"/>
    </row>
    <row r="187" spans="3:15">
      <c r="C187" s="5"/>
      <c r="N187" s="5"/>
      <c r="O187" s="5"/>
    </row>
    <row r="188" spans="3:15">
      <c r="C188" s="5"/>
      <c r="N188" s="5"/>
      <c r="O188" s="5"/>
    </row>
    <row r="189" spans="3:15">
      <c r="C189" s="5"/>
      <c r="N189" s="5"/>
      <c r="O189" s="5"/>
    </row>
    <row r="190" spans="3:15">
      <c r="C190" s="5"/>
      <c r="N190" s="5"/>
      <c r="O190" s="5"/>
    </row>
    <row r="191" spans="3:15">
      <c r="C191" s="5"/>
      <c r="N191" s="5"/>
      <c r="O191" s="5"/>
    </row>
    <row r="192" spans="3:15">
      <c r="C192" s="5"/>
      <c r="N192" s="5"/>
      <c r="O192" s="5"/>
    </row>
    <row r="193" spans="3:15">
      <c r="C193" s="5"/>
      <c r="N193" s="5"/>
      <c r="O193" s="5"/>
    </row>
    <row r="194" spans="3:15">
      <c r="C194" s="5"/>
      <c r="N194" s="5"/>
      <c r="O194" s="5"/>
    </row>
    <row r="195" spans="3:15">
      <c r="C195" s="5"/>
      <c r="N195" s="5"/>
      <c r="O195" s="5"/>
    </row>
    <row r="196" spans="3:15">
      <c r="C196" s="5"/>
      <c r="N196" s="5"/>
      <c r="O196" s="5"/>
    </row>
    <row r="197" spans="3:15">
      <c r="C197" s="5"/>
      <c r="N197" s="5"/>
      <c r="O197" s="5"/>
    </row>
    <row r="198" spans="3:15">
      <c r="C198" s="5"/>
      <c r="N198" s="5"/>
      <c r="O198" s="5"/>
    </row>
    <row r="199" spans="3:15">
      <c r="C199" s="5"/>
      <c r="N199" s="5"/>
      <c r="O199" s="5"/>
    </row>
    <row r="200" spans="3:15">
      <c r="C200" s="5"/>
      <c r="N200" s="5"/>
      <c r="O200" s="5"/>
    </row>
    <row r="201" spans="3:15">
      <c r="C201" s="5"/>
      <c r="N201" s="5"/>
      <c r="O201" s="5"/>
    </row>
    <row r="202" spans="3:15">
      <c r="C202" s="5"/>
      <c r="N202" s="5"/>
      <c r="O202" s="5"/>
    </row>
    <row r="203" spans="3:15">
      <c r="C203" s="5"/>
      <c r="N203" s="5"/>
      <c r="O203" s="5"/>
    </row>
    <row r="204" spans="3:15">
      <c r="C204" s="5"/>
      <c r="N204" s="5"/>
      <c r="O204" s="5"/>
    </row>
    <row r="205" spans="3:15">
      <c r="C205" s="5"/>
      <c r="N205" s="5"/>
      <c r="O205" s="5"/>
    </row>
    <row r="206" spans="3:15">
      <c r="C206" s="5"/>
      <c r="N206" s="5"/>
      <c r="O206" s="5"/>
    </row>
    <row r="207" spans="3:15">
      <c r="C207" s="5"/>
      <c r="N207" s="5"/>
      <c r="O207" s="5"/>
    </row>
    <row r="208" spans="3:15">
      <c r="C208" s="5"/>
      <c r="N208" s="5"/>
      <c r="O208" s="5"/>
    </row>
    <row r="209" spans="3:15">
      <c r="C209" s="5"/>
      <c r="N209" s="5"/>
      <c r="O209" s="5"/>
    </row>
    <row r="210" spans="3:15">
      <c r="C210" s="5"/>
      <c r="N210" s="5"/>
      <c r="O210" s="5"/>
    </row>
    <row r="211" spans="3:15">
      <c r="C211" s="5"/>
      <c r="N211" s="5"/>
      <c r="O211" s="5"/>
    </row>
    <row r="212" spans="3:15">
      <c r="C212" s="5"/>
      <c r="N212" s="5"/>
      <c r="O212" s="5"/>
    </row>
    <row r="213" spans="3:15">
      <c r="C213" s="5"/>
      <c r="N213" s="5"/>
      <c r="O213" s="5"/>
    </row>
    <row r="214" spans="3:15">
      <c r="C214" s="5"/>
      <c r="N214" s="5"/>
      <c r="O214" s="5"/>
    </row>
    <row r="215" spans="3:15">
      <c r="C215" s="5"/>
      <c r="N215" s="5"/>
      <c r="O215" s="5"/>
    </row>
    <row r="216" spans="3:15">
      <c r="C216" s="5"/>
      <c r="N216" s="5"/>
      <c r="O216" s="5"/>
    </row>
    <row r="217" spans="3:15">
      <c r="C217" s="5"/>
      <c r="N217" s="5"/>
      <c r="O217" s="5"/>
    </row>
    <row r="218" spans="3:15">
      <c r="C218" s="5"/>
      <c r="N218" s="5"/>
      <c r="O218" s="5"/>
    </row>
    <row r="219" spans="3:15">
      <c r="C219" s="5"/>
      <c r="N219" s="5"/>
      <c r="O219" s="5"/>
    </row>
    <row r="220" spans="3:15">
      <c r="C220" s="5"/>
      <c r="N220" s="5"/>
      <c r="O220" s="5"/>
    </row>
    <row r="221" spans="3:15">
      <c r="C221" s="5"/>
      <c r="N221" s="5"/>
      <c r="O221" s="5"/>
    </row>
    <row r="222" spans="3:15">
      <c r="C222" s="5"/>
      <c r="N222" s="5"/>
      <c r="O222" s="5"/>
    </row>
    <row r="223" spans="3:15">
      <c r="C223" s="5"/>
      <c r="N223" s="5"/>
      <c r="O223" s="5"/>
    </row>
    <row r="224" spans="3:15">
      <c r="C224" s="5"/>
      <c r="N224" s="5"/>
      <c r="O224" s="5"/>
    </row>
    <row r="225" spans="3:15">
      <c r="C225" s="5"/>
      <c r="N225" s="5"/>
      <c r="O225" s="5"/>
    </row>
    <row r="226" spans="3:15">
      <c r="C226" s="5"/>
      <c r="N226" s="5"/>
      <c r="O226" s="5"/>
    </row>
    <row r="227" spans="3:15">
      <c r="C227" s="5"/>
      <c r="N227" s="5"/>
      <c r="O227" s="5"/>
    </row>
    <row r="228" spans="3:15">
      <c r="C228" s="5"/>
      <c r="N228" s="5"/>
      <c r="O228" s="5"/>
    </row>
    <row r="229" spans="3:15">
      <c r="C229" s="5"/>
      <c r="N229" s="5"/>
      <c r="O229" s="5"/>
    </row>
    <row r="230" spans="3:15">
      <c r="C230" s="5"/>
      <c r="N230" s="5"/>
      <c r="O230" s="5"/>
    </row>
    <row r="231" spans="3:15">
      <c r="C231" s="5"/>
      <c r="N231" s="5"/>
      <c r="O231" s="5"/>
    </row>
    <row r="232" spans="3:15">
      <c r="C232" s="5"/>
      <c r="N232" s="5"/>
      <c r="O232" s="5"/>
    </row>
    <row r="233" spans="3:15">
      <c r="C233" s="5"/>
      <c r="N233" s="5"/>
      <c r="O233" s="5"/>
    </row>
    <row r="234" spans="3:15">
      <c r="C234" s="5"/>
      <c r="N234" s="5"/>
      <c r="O234" s="5"/>
    </row>
    <row r="235" spans="3:15">
      <c r="C235" s="5"/>
      <c r="N235" s="5"/>
      <c r="O235" s="5"/>
    </row>
    <row r="236" spans="3:15">
      <c r="C236" s="5"/>
      <c r="N236" s="5"/>
      <c r="O236" s="5"/>
    </row>
    <row r="237" spans="3:15">
      <c r="C237" s="5"/>
      <c r="N237" s="5"/>
      <c r="O237" s="5"/>
    </row>
    <row r="238" spans="3:15">
      <c r="C238" s="5"/>
      <c r="N238" s="5"/>
      <c r="O238" s="5"/>
    </row>
    <row r="239" spans="3:15">
      <c r="C239" s="5"/>
      <c r="N239" s="5"/>
      <c r="O239" s="5"/>
    </row>
    <row r="240" spans="3:15">
      <c r="C240" s="5"/>
      <c r="N240" s="5"/>
      <c r="O240" s="5"/>
    </row>
    <row r="241" spans="3:15">
      <c r="C241" s="5"/>
      <c r="N241" s="5"/>
      <c r="O241" s="5"/>
    </row>
    <row r="242" spans="3:15">
      <c r="C242" s="5"/>
      <c r="N242" s="5"/>
      <c r="O242" s="5"/>
    </row>
    <row r="243" spans="3:15">
      <c r="C243" s="5"/>
      <c r="N243" s="5"/>
      <c r="O243" s="5"/>
    </row>
    <row r="244" spans="3:15">
      <c r="C244" s="5"/>
      <c r="N244" s="5"/>
      <c r="O244" s="5"/>
    </row>
    <row r="245" spans="3:15">
      <c r="C245" s="5"/>
      <c r="N245" s="5"/>
      <c r="O245" s="5"/>
    </row>
    <row r="246" spans="3:15">
      <c r="C246" s="5"/>
      <c r="N246" s="5"/>
      <c r="O246" s="5"/>
    </row>
    <row r="247" spans="3:15">
      <c r="C247" s="5"/>
      <c r="N247" s="5"/>
      <c r="O247" s="5"/>
    </row>
    <row r="248" spans="3:15">
      <c r="C248" s="5"/>
      <c r="N248" s="5"/>
      <c r="O248" s="5"/>
    </row>
    <row r="249" spans="3:15">
      <c r="C249" s="5"/>
      <c r="N249" s="5"/>
      <c r="O249" s="5"/>
    </row>
    <row r="250" spans="3:15">
      <c r="C250" s="5"/>
      <c r="N250" s="5"/>
      <c r="O250" s="5"/>
    </row>
    <row r="251" spans="3:15">
      <c r="C251" s="5"/>
      <c r="N251" s="5"/>
      <c r="O251" s="5"/>
    </row>
    <row r="252" spans="3:15">
      <c r="C252" s="5"/>
      <c r="N252" s="5"/>
      <c r="O252" s="5"/>
    </row>
    <row r="253" spans="3:15">
      <c r="C253" s="5"/>
      <c r="N253" s="5"/>
      <c r="O253" s="5"/>
    </row>
    <row r="254" spans="3:15">
      <c r="C254" s="5"/>
      <c r="N254" s="5"/>
      <c r="O254" s="5"/>
    </row>
    <row r="255" spans="3:15">
      <c r="C255" s="5"/>
      <c r="N255" s="5"/>
      <c r="O255" s="5"/>
    </row>
    <row r="256" spans="3:15">
      <c r="C256" s="5"/>
      <c r="N256" s="5"/>
      <c r="O256" s="5"/>
    </row>
    <row r="257" spans="3:15">
      <c r="C257" s="5"/>
      <c r="N257" s="5"/>
      <c r="O257" s="5"/>
    </row>
    <row r="258" spans="3:15">
      <c r="C258" s="5"/>
      <c r="N258" s="5"/>
      <c r="O258" s="5"/>
    </row>
    <row r="259" spans="3:15">
      <c r="C259" s="5"/>
      <c r="N259" s="5"/>
      <c r="O259" s="5"/>
    </row>
    <row r="260" spans="3:15">
      <c r="C260" s="5"/>
      <c r="N260" s="5"/>
      <c r="O260" s="5"/>
    </row>
    <row r="261" spans="3:15">
      <c r="C261" s="5"/>
      <c r="N261" s="5"/>
      <c r="O261" s="5"/>
    </row>
    <row r="262" spans="3:15">
      <c r="C262" s="5"/>
      <c r="N262" s="5"/>
      <c r="O262" s="5"/>
    </row>
    <row r="263" spans="3:15">
      <c r="C263" s="5"/>
      <c r="N263" s="5"/>
      <c r="O263" s="5"/>
    </row>
    <row r="264" spans="3:15">
      <c r="C264" s="5"/>
      <c r="N264" s="5"/>
      <c r="O264" s="5"/>
    </row>
    <row r="265" spans="3:15">
      <c r="C265" s="5"/>
      <c r="N265" s="5"/>
      <c r="O265" s="5"/>
    </row>
    <row r="266" spans="3:15">
      <c r="C266" s="5"/>
      <c r="N266" s="5"/>
      <c r="O266" s="5"/>
    </row>
    <row r="267" spans="3:15">
      <c r="C267" s="5"/>
      <c r="N267" s="5"/>
      <c r="O267" s="5"/>
    </row>
    <row r="268" spans="3:15">
      <c r="C268" s="5"/>
      <c r="N268" s="5"/>
      <c r="O268" s="5"/>
    </row>
    <row r="269" spans="3:15">
      <c r="C269" s="5"/>
      <c r="N269" s="5"/>
      <c r="O269" s="5"/>
    </row>
    <row r="270" spans="3:15">
      <c r="C270" s="5"/>
      <c r="N270" s="5"/>
      <c r="O270" s="5"/>
    </row>
    <row r="271" spans="3:15">
      <c r="C271" s="5"/>
      <c r="N271" s="5"/>
      <c r="O271" s="5"/>
    </row>
    <row r="272" spans="3:15">
      <c r="C272" s="5"/>
      <c r="N272" s="5"/>
      <c r="O272" s="5"/>
    </row>
    <row r="273" spans="3:15">
      <c r="C273" s="5"/>
      <c r="N273" s="5"/>
      <c r="O273" s="5"/>
    </row>
    <row r="274" spans="3:15">
      <c r="C274" s="5"/>
      <c r="N274" s="5"/>
      <c r="O274" s="5"/>
    </row>
    <row r="275" spans="3:15">
      <c r="C275" s="5"/>
      <c r="N275" s="5"/>
      <c r="O275" s="5"/>
    </row>
    <row r="276" spans="3:15">
      <c r="C276" s="5"/>
      <c r="N276" s="5"/>
      <c r="O276" s="5"/>
    </row>
    <row r="277" spans="3:15">
      <c r="C277" s="5"/>
      <c r="N277" s="5"/>
      <c r="O277" s="5"/>
    </row>
    <row r="278" spans="3:15">
      <c r="C278" s="5"/>
      <c r="N278" s="5"/>
      <c r="O278" s="5"/>
    </row>
    <row r="279" spans="3:15">
      <c r="C279" s="5"/>
      <c r="N279" s="5"/>
      <c r="O279" s="5"/>
    </row>
    <row r="280" spans="3:15">
      <c r="C280" s="5"/>
      <c r="N280" s="5"/>
      <c r="O280" s="5"/>
    </row>
    <row r="281" spans="3:15">
      <c r="C281" s="5"/>
      <c r="N281" s="5"/>
      <c r="O281" s="5"/>
    </row>
    <row r="282" spans="3:15">
      <c r="C282" s="5"/>
      <c r="N282" s="5"/>
      <c r="O282" s="5"/>
    </row>
    <row r="283" spans="3:15">
      <c r="C283" s="5"/>
      <c r="N283" s="5"/>
      <c r="O283" s="5"/>
    </row>
    <row r="284" spans="3:15">
      <c r="C284" s="5"/>
      <c r="N284" s="5"/>
      <c r="O284" s="5"/>
    </row>
    <row r="285" spans="3:15">
      <c r="C285" s="5"/>
      <c r="N285" s="5"/>
      <c r="O285" s="5"/>
    </row>
    <row r="286" spans="3:15">
      <c r="C286" s="5"/>
      <c r="N286" s="5"/>
      <c r="O286" s="5"/>
    </row>
    <row r="287" spans="3:15">
      <c r="C287" s="5"/>
      <c r="N287" s="5"/>
      <c r="O287" s="5"/>
    </row>
    <row r="288" spans="3:15">
      <c r="C288" s="5"/>
      <c r="N288" s="5"/>
      <c r="O288" s="5"/>
    </row>
    <row r="289" spans="3:15">
      <c r="C289" s="5"/>
      <c r="N289" s="5"/>
      <c r="O289" s="5"/>
    </row>
    <row r="290" spans="3:15">
      <c r="C290" s="5"/>
      <c r="N290" s="5"/>
      <c r="O290" s="5"/>
    </row>
    <row r="291" spans="3:15">
      <c r="C291" s="5"/>
      <c r="N291" s="5"/>
      <c r="O291" s="5"/>
    </row>
    <row r="292" spans="3:15">
      <c r="C292" s="5"/>
      <c r="N292" s="5"/>
      <c r="O292" s="5"/>
    </row>
    <row r="293" spans="3:15">
      <c r="C293" s="5"/>
      <c r="N293" s="5"/>
      <c r="O293" s="5"/>
    </row>
    <row r="294" spans="3:15">
      <c r="C294" s="5"/>
      <c r="N294" s="5"/>
      <c r="O294" s="5"/>
    </row>
    <row r="295" spans="3:15">
      <c r="C295" s="5"/>
      <c r="N295" s="5"/>
      <c r="O295" s="5"/>
    </row>
    <row r="296" spans="3:15">
      <c r="C296" s="5"/>
      <c r="N296" s="5"/>
      <c r="O296" s="5"/>
    </row>
    <row r="297" spans="3:15">
      <c r="C297" s="5"/>
      <c r="N297" s="5"/>
      <c r="O297" s="5"/>
    </row>
    <row r="298" spans="3:15">
      <c r="C298" s="5"/>
      <c r="N298" s="5"/>
      <c r="O298" s="5"/>
    </row>
    <row r="299" spans="3:15">
      <c r="C299" s="5"/>
      <c r="N299" s="5"/>
      <c r="O299" s="5"/>
    </row>
    <row r="300" spans="3:15">
      <c r="C300" s="5"/>
      <c r="N300" s="5"/>
      <c r="O300" s="5"/>
    </row>
    <row r="301" spans="3:15">
      <c r="C301" s="5"/>
      <c r="N301" s="5"/>
      <c r="O301" s="5"/>
    </row>
    <row r="302" spans="3:15">
      <c r="C302" s="5"/>
      <c r="N302" s="5"/>
      <c r="O302" s="5"/>
    </row>
    <row r="303" spans="3:15">
      <c r="C303" s="5"/>
      <c r="N303" s="5"/>
      <c r="O303" s="5"/>
    </row>
    <row r="304" spans="3:15">
      <c r="C304" s="5"/>
      <c r="N304" s="5"/>
      <c r="O304" s="5"/>
    </row>
    <row r="305" spans="3:15">
      <c r="C305" s="5"/>
      <c r="N305" s="5"/>
      <c r="O305" s="5"/>
    </row>
    <row r="306" spans="3:15">
      <c r="C306" s="5"/>
      <c r="N306" s="5"/>
      <c r="O306" s="5"/>
    </row>
    <row r="307" spans="3:15">
      <c r="C307" s="5"/>
      <c r="N307" s="5"/>
      <c r="O307" s="5"/>
    </row>
    <row r="308" spans="3:15">
      <c r="C308" s="5"/>
      <c r="N308" s="5"/>
      <c r="O308" s="5"/>
    </row>
    <row r="309" spans="3:15">
      <c r="C309" s="5"/>
      <c r="N309" s="5"/>
      <c r="O309" s="5"/>
    </row>
    <row r="310" spans="3:15">
      <c r="C310" s="5"/>
      <c r="N310" s="5"/>
      <c r="O310" s="5"/>
    </row>
    <row r="311" spans="3:15">
      <c r="C311" s="5"/>
      <c r="N311" s="5"/>
      <c r="O311" s="5"/>
    </row>
    <row r="312" spans="3:15">
      <c r="C312" s="5"/>
      <c r="N312" s="5"/>
      <c r="O312" s="5"/>
    </row>
    <row r="313" spans="3:15">
      <c r="C313" s="5"/>
      <c r="N313" s="5"/>
      <c r="O313" s="5"/>
    </row>
    <row r="314" spans="3:15">
      <c r="C314" s="5"/>
      <c r="N314" s="5"/>
      <c r="O314" s="5"/>
    </row>
    <row r="315" spans="3:15">
      <c r="C315" s="5"/>
      <c r="N315" s="5"/>
      <c r="O315" s="5"/>
    </row>
    <row r="316" spans="3:15">
      <c r="C316" s="5"/>
      <c r="N316" s="5"/>
      <c r="O316" s="5"/>
    </row>
    <row r="317" spans="3:15">
      <c r="C317" s="5"/>
      <c r="N317" s="5"/>
      <c r="O317" s="5"/>
    </row>
    <row r="318" spans="3:15">
      <c r="C318" s="5"/>
      <c r="N318" s="5"/>
      <c r="O318" s="5"/>
    </row>
    <row r="319" spans="3:15">
      <c r="C319" s="5"/>
      <c r="N319" s="5"/>
      <c r="O319" s="5"/>
    </row>
    <row r="320" spans="3:15">
      <c r="C320" s="5"/>
      <c r="N320" s="5"/>
      <c r="O320" s="5"/>
    </row>
    <row r="321" spans="3:15">
      <c r="C321" s="5"/>
      <c r="N321" s="5"/>
      <c r="O321" s="5"/>
    </row>
    <row r="322" spans="3:15">
      <c r="C322" s="5"/>
      <c r="N322" s="5"/>
      <c r="O322" s="5"/>
    </row>
    <row r="323" spans="3:15">
      <c r="C323" s="5"/>
      <c r="N323" s="5"/>
      <c r="O323" s="5"/>
    </row>
    <row r="324" spans="3:15">
      <c r="C324" s="5"/>
      <c r="N324" s="5"/>
      <c r="O324" s="5"/>
    </row>
    <row r="325" spans="3:15">
      <c r="C325" s="5"/>
      <c r="N325" s="5"/>
      <c r="O325" s="5"/>
    </row>
    <row r="326" spans="3:15">
      <c r="C326" s="5"/>
      <c r="N326" s="5"/>
      <c r="O326" s="5"/>
    </row>
    <row r="327" spans="3:15">
      <c r="C327" s="5"/>
      <c r="N327" s="5"/>
      <c r="O327" s="5"/>
    </row>
    <row r="328" spans="3:15">
      <c r="C328" s="5"/>
      <c r="N328" s="5"/>
      <c r="O328" s="5"/>
    </row>
    <row r="329" spans="3:15">
      <c r="C329" s="5"/>
      <c r="N329" s="5"/>
      <c r="O329" s="5"/>
    </row>
    <row r="330" spans="3:15">
      <c r="C330" s="5"/>
      <c r="N330" s="5"/>
      <c r="O330" s="5"/>
    </row>
    <row r="331" spans="3:15">
      <c r="C331" s="5"/>
      <c r="N331" s="5"/>
      <c r="O331" s="5"/>
    </row>
    <row r="332" spans="3:15">
      <c r="C332" s="5"/>
      <c r="N332" s="5"/>
      <c r="O332" s="5"/>
    </row>
    <row r="333" spans="3:15">
      <c r="C333" s="5"/>
      <c r="N333" s="5"/>
      <c r="O333" s="5"/>
    </row>
    <row r="334" spans="3:15">
      <c r="C334" s="5"/>
      <c r="N334" s="5"/>
      <c r="O334" s="5"/>
    </row>
    <row r="335" spans="3:15">
      <c r="C335" s="5"/>
      <c r="N335" s="5"/>
      <c r="O335" s="5"/>
    </row>
    <row r="336" spans="3:15">
      <c r="C336" s="5"/>
      <c r="N336" s="5"/>
      <c r="O336" s="5"/>
    </row>
    <row r="337" spans="3:15">
      <c r="C337" s="5"/>
      <c r="N337" s="5"/>
      <c r="O337" s="5"/>
    </row>
    <row r="338" spans="3:15">
      <c r="C338" s="5"/>
      <c r="N338" s="5"/>
      <c r="O338" s="5"/>
    </row>
    <row r="339" spans="3:15">
      <c r="C339" s="5"/>
      <c r="N339" s="5"/>
      <c r="O339" s="5"/>
    </row>
    <row r="340" spans="3:15">
      <c r="C340" s="5"/>
      <c r="N340" s="5"/>
      <c r="O340" s="5"/>
    </row>
    <row r="341" spans="3:15">
      <c r="C341" s="5"/>
      <c r="N341" s="5"/>
      <c r="O341" s="5"/>
    </row>
    <row r="342" spans="3:15">
      <c r="C342" s="5"/>
      <c r="N342" s="5"/>
      <c r="O342" s="5"/>
    </row>
    <row r="343" spans="3:15">
      <c r="C343" s="5"/>
      <c r="N343" s="5"/>
      <c r="O343" s="5"/>
    </row>
    <row r="344" spans="3:15">
      <c r="C344" s="5"/>
      <c r="N344" s="5"/>
      <c r="O344" s="5"/>
    </row>
    <row r="345" spans="3:15">
      <c r="C345" s="5"/>
      <c r="N345" s="5"/>
      <c r="O345" s="5"/>
    </row>
    <row r="346" spans="3:15">
      <c r="C346" s="5"/>
      <c r="N346" s="5"/>
      <c r="O346" s="5"/>
    </row>
    <row r="347" spans="3:15">
      <c r="C347" s="5"/>
      <c r="N347" s="5"/>
      <c r="O347" s="5"/>
    </row>
    <row r="348" spans="3:15">
      <c r="C348" s="5"/>
      <c r="N348" s="5"/>
      <c r="O348" s="5"/>
    </row>
    <row r="349" spans="3:15">
      <c r="C349" s="5"/>
      <c r="N349" s="5"/>
      <c r="O349" s="5"/>
    </row>
    <row r="350" spans="3:15">
      <c r="C350" s="5"/>
      <c r="N350" s="5"/>
      <c r="O350" s="5"/>
    </row>
    <row r="351" spans="3:15">
      <c r="C351" s="5"/>
      <c r="N351" s="5"/>
      <c r="O351" s="5"/>
    </row>
    <row r="352" spans="3:15">
      <c r="C352" s="5"/>
      <c r="N352" s="5"/>
      <c r="O352" s="5"/>
    </row>
    <row r="353" spans="3:15">
      <c r="C353" s="5"/>
      <c r="N353" s="5"/>
      <c r="O353" s="5"/>
    </row>
    <row r="354" spans="3:15">
      <c r="C354" s="5"/>
      <c r="N354" s="5"/>
      <c r="O354" s="5"/>
    </row>
    <row r="355" spans="3:15">
      <c r="C355" s="5"/>
      <c r="N355" s="5"/>
      <c r="O355" s="5"/>
    </row>
    <row r="356" spans="3:15">
      <c r="C356" s="5"/>
      <c r="N356" s="5"/>
      <c r="O356" s="5"/>
    </row>
    <row r="357" spans="3:15">
      <c r="C357" s="5"/>
      <c r="N357" s="5"/>
      <c r="O357" s="5"/>
    </row>
    <row r="358" spans="3:15">
      <c r="C358" s="5"/>
      <c r="N358" s="5"/>
      <c r="O358" s="5"/>
    </row>
    <row r="359" spans="3:15">
      <c r="C359" s="5"/>
      <c r="N359" s="5"/>
      <c r="O359" s="5"/>
    </row>
    <row r="360" spans="3:15">
      <c r="C360" s="5"/>
      <c r="N360" s="5"/>
      <c r="O360" s="5"/>
    </row>
    <row r="361" spans="3:15">
      <c r="C361" s="5"/>
      <c r="N361" s="5"/>
      <c r="O361" s="5"/>
    </row>
    <row r="362" spans="3:15">
      <c r="C362" s="5"/>
      <c r="N362" s="5"/>
      <c r="O362" s="5"/>
    </row>
    <row r="363" spans="3:15">
      <c r="C363" s="5"/>
      <c r="N363" s="5"/>
      <c r="O363" s="5"/>
    </row>
    <row r="364" spans="3:15">
      <c r="C364" s="5"/>
      <c r="N364" s="5"/>
      <c r="O364" s="5"/>
    </row>
    <row r="365" spans="3:15">
      <c r="C365" s="5"/>
      <c r="N365" s="5"/>
      <c r="O365" s="5"/>
    </row>
    <row r="366" spans="3:15">
      <c r="C366" s="5"/>
      <c r="N366" s="5"/>
      <c r="O366" s="5"/>
    </row>
    <row r="367" spans="3:15">
      <c r="C367" s="5"/>
      <c r="N367" s="5"/>
      <c r="O367" s="5"/>
    </row>
    <row r="368" spans="3:15">
      <c r="C368" s="5"/>
      <c r="N368" s="5"/>
      <c r="O368" s="5"/>
    </row>
    <row r="369" spans="3:15">
      <c r="C369" s="5"/>
      <c r="N369" s="5"/>
      <c r="O369" s="5"/>
    </row>
    <row r="370" spans="3:15">
      <c r="C370" s="5"/>
      <c r="N370" s="5"/>
      <c r="O370" s="5"/>
    </row>
    <row r="371" spans="3:15">
      <c r="C371" s="5"/>
      <c r="N371" s="5"/>
      <c r="O371" s="5"/>
    </row>
    <row r="372" spans="3:15">
      <c r="C372" s="5"/>
      <c r="N372" s="5"/>
      <c r="O372" s="5"/>
    </row>
    <row r="373" spans="3:15">
      <c r="C373" s="5"/>
      <c r="N373" s="5"/>
      <c r="O373" s="5"/>
    </row>
    <row r="374" spans="3:15">
      <c r="C374" s="5"/>
      <c r="N374" s="5"/>
      <c r="O374" s="5"/>
    </row>
    <row r="375" spans="3:15">
      <c r="C375" s="5"/>
      <c r="N375" s="5"/>
      <c r="O375" s="5"/>
    </row>
    <row r="376" spans="3:15">
      <c r="C376" s="5"/>
      <c r="N376" s="5"/>
      <c r="O376" s="5"/>
    </row>
    <row r="377" spans="3:15">
      <c r="C377" s="5"/>
      <c r="N377" s="5"/>
      <c r="O377" s="5"/>
    </row>
    <row r="378" spans="3:15">
      <c r="C378" s="5"/>
      <c r="N378" s="5"/>
      <c r="O378" s="5"/>
    </row>
    <row r="379" spans="3:15">
      <c r="C379" s="5"/>
      <c r="N379" s="5"/>
      <c r="O379" s="5"/>
    </row>
    <row r="380" spans="3:15">
      <c r="C380" s="5"/>
      <c r="N380" s="5"/>
      <c r="O380" s="5"/>
    </row>
    <row r="381" spans="3:15">
      <c r="C381" s="5"/>
      <c r="N381" s="5"/>
      <c r="O381" s="5"/>
    </row>
    <row r="382" spans="3:15">
      <c r="C382" s="5"/>
      <c r="N382" s="5"/>
      <c r="O382" s="5"/>
    </row>
    <row r="383" spans="3:15">
      <c r="C383" s="5"/>
      <c r="N383" s="5"/>
      <c r="O383" s="5"/>
    </row>
    <row r="384" spans="3:15">
      <c r="C384" s="5"/>
      <c r="N384" s="5"/>
      <c r="O384" s="5"/>
    </row>
    <row r="385" spans="3:15">
      <c r="C385" s="5"/>
      <c r="N385" s="5"/>
      <c r="O385" s="5"/>
    </row>
    <row r="386" spans="3:15">
      <c r="C386" s="5"/>
      <c r="N386" s="5"/>
      <c r="O386" s="5"/>
    </row>
    <row r="387" spans="3:15">
      <c r="C387" s="5"/>
      <c r="N387" s="5"/>
      <c r="O387" s="5"/>
    </row>
    <row r="388" spans="3:15">
      <c r="C388" s="5"/>
      <c r="N388" s="5"/>
      <c r="O388" s="5"/>
    </row>
    <row r="389" spans="3:15">
      <c r="C389" s="5"/>
      <c r="N389" s="5"/>
      <c r="O389" s="5"/>
    </row>
    <row r="390" spans="3:15">
      <c r="C390" s="5"/>
      <c r="N390" s="5"/>
      <c r="O390" s="5"/>
    </row>
    <row r="391" spans="3:15">
      <c r="C391" s="5"/>
      <c r="N391" s="5"/>
      <c r="O391" s="5"/>
    </row>
    <row r="392" spans="3:15">
      <c r="C392" s="5"/>
      <c r="N392" s="5"/>
      <c r="O392" s="5"/>
    </row>
    <row r="393" spans="3:15">
      <c r="C393" s="5"/>
      <c r="N393" s="5"/>
      <c r="O393" s="5"/>
    </row>
    <row r="394" spans="3:15">
      <c r="C394" s="5"/>
      <c r="N394" s="5"/>
      <c r="O394" s="5"/>
    </row>
    <row r="395" spans="3:15">
      <c r="C395" s="5"/>
      <c r="N395" s="5"/>
      <c r="O395" s="5"/>
    </row>
    <row r="396" spans="3:15">
      <c r="C396" s="5"/>
      <c r="N396" s="5"/>
      <c r="O396" s="5"/>
    </row>
    <row r="397" spans="3:15">
      <c r="C397" s="5"/>
      <c r="N397" s="5"/>
      <c r="O397" s="5"/>
    </row>
    <row r="398" spans="3:15">
      <c r="C398" s="5"/>
      <c r="N398" s="5"/>
      <c r="O398" s="5"/>
    </row>
    <row r="399" spans="3:15">
      <c r="C399" s="5"/>
      <c r="N399" s="5"/>
      <c r="O399" s="5"/>
    </row>
    <row r="400" spans="3:15">
      <c r="C400" s="5"/>
      <c r="N400" s="5"/>
      <c r="O400" s="5"/>
    </row>
    <row r="401" spans="3:15">
      <c r="C401" s="5"/>
      <c r="N401" s="5"/>
      <c r="O401" s="5"/>
    </row>
    <row r="402" spans="3:15">
      <c r="C402" s="5"/>
      <c r="N402" s="5"/>
      <c r="O402" s="5"/>
    </row>
    <row r="403" spans="3:15">
      <c r="C403" s="5"/>
      <c r="N403" s="5"/>
      <c r="O403" s="5"/>
    </row>
    <row r="404" spans="3:15">
      <c r="C404" s="5"/>
      <c r="N404" s="5"/>
      <c r="O404" s="5"/>
    </row>
    <row r="405" spans="3:15">
      <c r="C405" s="5"/>
      <c r="N405" s="5"/>
      <c r="O405" s="5"/>
    </row>
    <row r="406" spans="3:15">
      <c r="C406" s="5"/>
      <c r="N406" s="5"/>
      <c r="O406" s="5"/>
    </row>
    <row r="407" spans="3:15">
      <c r="C407" s="5"/>
      <c r="N407" s="5"/>
      <c r="O407" s="5"/>
    </row>
    <row r="408" spans="3:15">
      <c r="C408" s="5"/>
      <c r="N408" s="5"/>
      <c r="O408" s="5"/>
    </row>
    <row r="409" spans="3:15">
      <c r="C409" s="5"/>
      <c r="N409" s="5"/>
      <c r="O409" s="5"/>
    </row>
    <row r="410" spans="3:15">
      <c r="C410" s="5"/>
      <c r="N410" s="5"/>
      <c r="O410" s="5"/>
    </row>
    <row r="411" spans="3:15">
      <c r="C411" s="5"/>
      <c r="N411" s="5"/>
      <c r="O411" s="5"/>
    </row>
    <row r="412" spans="3:15">
      <c r="C412" s="5"/>
      <c r="N412" s="5"/>
      <c r="O412" s="5"/>
    </row>
    <row r="413" spans="3:15">
      <c r="C413" s="5"/>
      <c r="N413" s="5"/>
      <c r="O413" s="5"/>
    </row>
    <row r="414" spans="3:15">
      <c r="C414" s="5"/>
      <c r="N414" s="5"/>
      <c r="O414" s="5"/>
    </row>
    <row r="415" spans="3:15">
      <c r="C415" s="5"/>
      <c r="N415" s="5"/>
      <c r="O415" s="5"/>
    </row>
    <row r="416" spans="3:15">
      <c r="C416" s="5"/>
      <c r="N416" s="5"/>
      <c r="O416" s="5"/>
    </row>
    <row r="417" spans="3:15">
      <c r="C417" s="5"/>
      <c r="N417" s="5"/>
      <c r="O417" s="5"/>
    </row>
    <row r="418" spans="3:15">
      <c r="C418" s="5"/>
      <c r="N418" s="5"/>
      <c r="O418" s="5"/>
    </row>
    <row r="419" spans="3:15">
      <c r="C419" s="5"/>
      <c r="N419" s="5"/>
      <c r="O419" s="5"/>
    </row>
    <row r="420" spans="3:15">
      <c r="C420" s="5"/>
      <c r="N420" s="5"/>
      <c r="O420" s="5"/>
    </row>
    <row r="421" spans="3:15">
      <c r="C421" s="5"/>
      <c r="N421" s="5"/>
      <c r="O421" s="5"/>
    </row>
    <row r="422" spans="3:15">
      <c r="C422" s="5"/>
      <c r="N422" s="5"/>
      <c r="O422" s="5"/>
    </row>
    <row r="423" spans="3:15">
      <c r="C423" s="5"/>
      <c r="N423" s="5"/>
      <c r="O423" s="5"/>
    </row>
    <row r="424" spans="3:15">
      <c r="C424" s="5"/>
      <c r="N424" s="5"/>
      <c r="O424" s="5"/>
    </row>
    <row r="425" spans="3:15">
      <c r="C425" s="5"/>
      <c r="N425" s="5"/>
      <c r="O425" s="5"/>
    </row>
    <row r="426" spans="3:15">
      <c r="C426" s="5"/>
      <c r="N426" s="5"/>
      <c r="O426" s="5"/>
    </row>
    <row r="427" spans="3:15">
      <c r="C427" s="5"/>
      <c r="N427" s="5"/>
      <c r="O427" s="5"/>
    </row>
    <row r="428" spans="3:15">
      <c r="C428" s="5"/>
      <c r="N428" s="5"/>
      <c r="O428" s="5"/>
    </row>
    <row r="429" spans="3:15">
      <c r="C429" s="5"/>
      <c r="N429" s="5"/>
      <c r="O429" s="5"/>
    </row>
    <row r="430" spans="3:15">
      <c r="C430" s="5"/>
      <c r="N430" s="5"/>
      <c r="O430" s="5"/>
    </row>
    <row r="431" spans="3:15">
      <c r="C431" s="5"/>
      <c r="N431" s="5"/>
      <c r="O431" s="5"/>
    </row>
    <row r="432" spans="3:15">
      <c r="C432" s="5"/>
      <c r="N432" s="5"/>
      <c r="O432" s="5"/>
    </row>
    <row r="433" spans="3:15">
      <c r="C433" s="5"/>
      <c r="N433" s="5"/>
      <c r="O433" s="5"/>
    </row>
    <row r="434" spans="3:15">
      <c r="C434" s="5"/>
      <c r="N434" s="5"/>
      <c r="O434" s="5"/>
    </row>
    <row r="435" spans="3:15">
      <c r="C435" s="5"/>
      <c r="N435" s="5"/>
      <c r="O435" s="5"/>
    </row>
    <row r="436" spans="3:15">
      <c r="C436" s="5"/>
      <c r="N436" s="5"/>
      <c r="O436" s="5"/>
    </row>
    <row r="437" spans="3:15">
      <c r="C437" s="5"/>
      <c r="N437" s="5"/>
      <c r="O437" s="5"/>
    </row>
    <row r="438" spans="3:15">
      <c r="C438" s="5"/>
      <c r="N438" s="5"/>
      <c r="O438" s="5"/>
    </row>
    <row r="439" spans="3:15">
      <c r="C439" s="5"/>
      <c r="N439" s="5"/>
      <c r="O439" s="5"/>
    </row>
    <row r="440" spans="3:15">
      <c r="C440" s="5"/>
      <c r="N440" s="5"/>
      <c r="O440" s="5"/>
    </row>
    <row r="441" spans="3:15">
      <c r="C441" s="5"/>
      <c r="N441" s="5"/>
      <c r="O441" s="5"/>
    </row>
    <row r="442" spans="3:15">
      <c r="C442" s="5"/>
      <c r="N442" s="5"/>
      <c r="O442" s="5"/>
    </row>
    <row r="443" spans="3:15">
      <c r="C443" s="5"/>
      <c r="N443" s="5"/>
      <c r="O443" s="5"/>
    </row>
    <row r="444" spans="3:15">
      <c r="C444" s="5"/>
      <c r="N444" s="5"/>
      <c r="O444" s="5"/>
    </row>
    <row r="445" spans="3:15">
      <c r="C445" s="5"/>
      <c r="N445" s="5"/>
      <c r="O445" s="5"/>
    </row>
    <row r="446" spans="3:15">
      <c r="C446" s="5"/>
      <c r="N446" s="5"/>
      <c r="O446" s="5"/>
    </row>
    <row r="447" spans="3:15">
      <c r="C447" s="5"/>
      <c r="N447" s="5"/>
      <c r="O447" s="5"/>
    </row>
    <row r="448" spans="3:15">
      <c r="C448" s="5"/>
      <c r="N448" s="5"/>
      <c r="O448" s="5"/>
    </row>
    <row r="449" spans="3:15">
      <c r="C449" s="5"/>
      <c r="N449" s="5"/>
      <c r="O449" s="5"/>
    </row>
    <row r="450" spans="3:15">
      <c r="C450" s="5"/>
      <c r="N450" s="5"/>
      <c r="O450" s="5"/>
    </row>
    <row r="451" spans="3:15">
      <c r="C451" s="5"/>
      <c r="N451" s="5"/>
      <c r="O451" s="5"/>
    </row>
    <row r="452" spans="3:15">
      <c r="C452" s="5"/>
      <c r="N452" s="5"/>
      <c r="O452" s="5"/>
    </row>
    <row r="453" spans="3:15">
      <c r="C453" s="5"/>
      <c r="N453" s="5"/>
      <c r="O453" s="5"/>
    </row>
    <row r="454" spans="3:15">
      <c r="C454" s="5"/>
      <c r="N454" s="5"/>
      <c r="O454" s="5"/>
    </row>
    <row r="455" spans="3:15">
      <c r="C455" s="5"/>
      <c r="N455" s="5"/>
      <c r="O455" s="5"/>
    </row>
    <row r="456" spans="3:15">
      <c r="C456" s="5"/>
      <c r="N456" s="5"/>
      <c r="O456" s="5"/>
    </row>
    <row r="457" spans="3:15">
      <c r="C457" s="5"/>
      <c r="N457" s="5"/>
      <c r="O457" s="5"/>
    </row>
    <row r="458" spans="3:15">
      <c r="C458" s="5"/>
      <c r="N458" s="5"/>
      <c r="O458" s="5"/>
    </row>
    <row r="459" spans="3:15">
      <c r="C459" s="5"/>
      <c r="N459" s="5"/>
      <c r="O459" s="5"/>
    </row>
    <row r="460" spans="3:15">
      <c r="C460" s="5"/>
      <c r="N460" s="5"/>
      <c r="O460" s="5"/>
    </row>
    <row r="461" spans="3:15">
      <c r="C461" s="5"/>
      <c r="N461" s="5"/>
      <c r="O461" s="5"/>
    </row>
    <row r="462" spans="3:15">
      <c r="C462" s="5"/>
      <c r="N462" s="5"/>
      <c r="O462" s="5"/>
    </row>
    <row r="463" spans="3:15">
      <c r="C463" s="5"/>
      <c r="N463" s="5"/>
      <c r="O463" s="5"/>
    </row>
  </sheetData>
  <mergeCells count="16">
    <mergeCell ref="A1:G1"/>
    <mergeCell ref="H1:U1"/>
    <mergeCell ref="A2:T2"/>
    <mergeCell ref="A3:B3"/>
    <mergeCell ref="C3:D3"/>
    <mergeCell ref="H3:I3"/>
    <mergeCell ref="K3:L3"/>
    <mergeCell ref="N3:O3"/>
    <mergeCell ref="A61:K61"/>
    <mergeCell ref="C5:C11"/>
    <mergeCell ref="C12:C19"/>
    <mergeCell ref="C20:C30"/>
    <mergeCell ref="C31:C37"/>
    <mergeCell ref="C38:C43"/>
    <mergeCell ref="C44:C50"/>
    <mergeCell ref="C51:C60"/>
  </mergeCells>
  <conditionalFormatting sqref="F21">
    <cfRule type="duplicateValues" dxfId="0" priority="20"/>
  </conditionalFormatting>
  <conditionalFormatting sqref="F27">
    <cfRule type="duplicateValues" dxfId="0" priority="19"/>
  </conditionalFormatting>
  <conditionalFormatting sqref="F33">
    <cfRule type="duplicateValues" dxfId="0" priority="4"/>
  </conditionalFormatting>
  <conditionalFormatting sqref="F40">
    <cfRule type="duplicateValues" dxfId="0" priority="8"/>
  </conditionalFormatting>
  <conditionalFormatting sqref="F41">
    <cfRule type="duplicateValues" dxfId="0" priority="7"/>
  </conditionalFormatting>
  <conditionalFormatting sqref="F42">
    <cfRule type="duplicateValues" dxfId="0" priority="3"/>
  </conditionalFormatting>
  <conditionalFormatting sqref="F57">
    <cfRule type="duplicateValues" dxfId="0" priority="1"/>
  </conditionalFormatting>
  <conditionalFormatting sqref="F34:F35">
    <cfRule type="duplicateValues" dxfId="0" priority="5"/>
  </conditionalFormatting>
  <conditionalFormatting sqref="F47:F48">
    <cfRule type="duplicateValues" dxfId="0" priority="42"/>
  </conditionalFormatting>
  <conditionalFormatting sqref="F55:F56">
    <cfRule type="duplicateValues" dxfId="0" priority="2"/>
  </conditionalFormatting>
  <dataValidations count="2">
    <dataValidation type="list" allowBlank="1" showInputMessage="1" showErrorMessage="1" sqref="B5:B60">
      <formula1>"项目未开工,项目已开工,售后项目"</formula1>
    </dataValidation>
    <dataValidation type="list" allowBlank="1" showInputMessage="1" showErrorMessage="1" sqref="T5:T60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3"/>
  <sheetViews>
    <sheetView tabSelected="1" zoomScale="60" zoomScaleNormal="60" workbookViewId="0">
      <pane ySplit="4" topLeftCell="A19" activePane="bottomLeft" state="frozen"/>
      <selection/>
      <selection pane="bottomLeft" activeCell="E22" sqref="E22:J24"/>
    </sheetView>
  </sheetViews>
  <sheetFormatPr defaultColWidth="10" defaultRowHeight="20"/>
  <cols>
    <col min="1" max="1" width="7.975" style="5" customWidth="1"/>
    <col min="2" max="2" width="15.1166666666667" style="5" customWidth="1"/>
    <col min="3" max="3" width="12.0833333333333" style="6" customWidth="1"/>
    <col min="4" max="4" width="16.375" style="5" customWidth="1"/>
    <col min="5" max="5" width="24.75" style="5" customWidth="1"/>
    <col min="6" max="6" width="59.875" style="5" customWidth="1"/>
    <col min="7" max="7" width="13.2166666666667" style="5" customWidth="1"/>
    <col min="8" max="8" width="5.75" style="5" customWidth="1"/>
    <col min="9" max="9" width="4.875" style="5" customWidth="1"/>
    <col min="10" max="10" width="9.4" style="5" customWidth="1"/>
    <col min="11" max="12" width="4.75" style="5" customWidth="1"/>
    <col min="13" max="13" width="7.25" style="5" customWidth="1"/>
    <col min="14" max="14" width="7.25" style="6" hidden="1" customWidth="1"/>
    <col min="15" max="15" width="17.125" style="6" hidden="1" customWidth="1"/>
    <col min="16" max="17" width="13" style="7" customWidth="1"/>
    <col min="18" max="18" width="18.0583333333333" style="8" customWidth="1"/>
    <col min="19" max="19" width="19.625" style="5" customWidth="1"/>
    <col min="20" max="20" width="8" style="5" customWidth="1"/>
    <col min="21" max="21" width="16.875" style="5" customWidth="1"/>
    <col min="22" max="22" width="17.2166666666667" style="5" customWidth="1"/>
  </cols>
  <sheetData>
    <row r="1" ht="48.95" customHeight="1" spans="1:2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54"/>
      <c r="S1" s="9"/>
      <c r="T1" s="9"/>
      <c r="U1" s="9"/>
    </row>
    <row r="2" s="1" customFormat="1" ht="60" customHeight="1" spans="1:2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55"/>
      <c r="S2" s="10"/>
      <c r="T2" s="10"/>
      <c r="U2" s="56"/>
      <c r="V2" s="57"/>
    </row>
    <row r="3" s="1" customFormat="1" ht="30" customHeight="1" spans="1:22">
      <c r="A3" s="11" t="s">
        <v>1</v>
      </c>
      <c r="B3" s="11"/>
      <c r="C3" s="12" t="s">
        <v>2</v>
      </c>
      <c r="D3" s="13"/>
      <c r="E3" s="11" t="s">
        <v>3</v>
      </c>
      <c r="F3" s="11" t="s">
        <v>4</v>
      </c>
      <c r="G3" s="11" t="s">
        <v>5</v>
      </c>
      <c r="H3" s="11" t="s">
        <v>6</v>
      </c>
      <c r="I3" s="11"/>
      <c r="J3" s="11" t="s">
        <v>7</v>
      </c>
      <c r="K3" s="11" t="s">
        <v>8</v>
      </c>
      <c r="L3" s="11"/>
      <c r="M3" s="11" t="s">
        <v>9</v>
      </c>
      <c r="N3" s="11"/>
      <c r="O3" s="11"/>
      <c r="P3" s="40"/>
      <c r="Q3" s="40"/>
      <c r="R3" s="11"/>
      <c r="S3" s="11"/>
      <c r="T3" s="11"/>
      <c r="U3" s="11"/>
      <c r="V3" s="57"/>
    </row>
    <row r="4" s="1" customFormat="1" ht="50.25" customHeight="1" spans="1:22">
      <c r="A4" s="14" t="s">
        <v>10</v>
      </c>
      <c r="B4" s="15" t="s">
        <v>11</v>
      </c>
      <c r="C4" s="15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  <c r="K4" s="14" t="s">
        <v>20</v>
      </c>
      <c r="L4" s="14" t="s">
        <v>21</v>
      </c>
      <c r="M4" s="14" t="s">
        <v>22</v>
      </c>
      <c r="N4" s="15" t="s">
        <v>23</v>
      </c>
      <c r="O4" s="15" t="s">
        <v>24</v>
      </c>
      <c r="P4" s="41" t="s">
        <v>23</v>
      </c>
      <c r="Q4" s="41" t="s">
        <v>25</v>
      </c>
      <c r="R4" s="14" t="s">
        <v>26</v>
      </c>
      <c r="S4" s="14" t="s">
        <v>27</v>
      </c>
      <c r="T4" s="14" t="s">
        <v>28</v>
      </c>
      <c r="U4" s="14" t="s">
        <v>29</v>
      </c>
      <c r="V4" s="57"/>
    </row>
    <row r="5" s="1" customFormat="1" ht="39" customHeight="1" spans="1:22">
      <c r="A5" s="14">
        <v>1</v>
      </c>
      <c r="B5" s="16" t="s">
        <v>30</v>
      </c>
      <c r="C5" s="17" t="s">
        <v>31</v>
      </c>
      <c r="D5" s="18">
        <v>4202000029</v>
      </c>
      <c r="E5" s="18" t="s">
        <v>32</v>
      </c>
      <c r="F5" s="18" t="s">
        <v>33</v>
      </c>
      <c r="G5" s="18" t="s">
        <v>34</v>
      </c>
      <c r="H5" s="19" t="s">
        <v>35</v>
      </c>
      <c r="I5" s="19">
        <v>2</v>
      </c>
      <c r="J5" s="19">
        <v>1</v>
      </c>
      <c r="K5" s="42"/>
      <c r="L5" s="42"/>
      <c r="M5" s="19">
        <f>I5*J5</f>
        <v>2</v>
      </c>
      <c r="N5" s="43"/>
      <c r="O5" s="43"/>
      <c r="P5" s="44">
        <v>80</v>
      </c>
      <c r="Q5" s="58">
        <f>M5*P5</f>
        <v>160</v>
      </c>
      <c r="R5" s="59"/>
      <c r="S5" s="14"/>
      <c r="T5" s="60" t="s">
        <v>36</v>
      </c>
      <c r="U5" s="14"/>
      <c r="V5" s="57"/>
    </row>
    <row r="6" s="1" customFormat="1" ht="33" customHeight="1" spans="1:22">
      <c r="A6" s="14">
        <v>2</v>
      </c>
      <c r="B6" s="16" t="s">
        <v>30</v>
      </c>
      <c r="C6" s="17"/>
      <c r="D6" s="18">
        <v>3001000113</v>
      </c>
      <c r="E6" s="18" t="s">
        <v>37</v>
      </c>
      <c r="F6" s="18" t="s">
        <v>38</v>
      </c>
      <c r="G6" s="18" t="s">
        <v>34</v>
      </c>
      <c r="H6" s="19" t="s">
        <v>35</v>
      </c>
      <c r="I6" s="19">
        <v>2</v>
      </c>
      <c r="J6" s="19">
        <v>1</v>
      </c>
      <c r="K6" s="42"/>
      <c r="L6" s="42"/>
      <c r="M6" s="19">
        <f t="shared" ref="M6:M37" si="0">I6*J6</f>
        <v>2</v>
      </c>
      <c r="N6" s="43"/>
      <c r="O6" s="43"/>
      <c r="P6" s="44">
        <v>120</v>
      </c>
      <c r="Q6" s="58">
        <f t="shared" ref="Q6:Q37" si="1">M6*P6</f>
        <v>240</v>
      </c>
      <c r="R6" s="59"/>
      <c r="S6" s="14"/>
      <c r="T6" s="60" t="s">
        <v>36</v>
      </c>
      <c r="U6" s="14"/>
      <c r="V6" s="57"/>
    </row>
    <row r="7" s="1" customFormat="1" ht="25" customHeight="1" spans="1:22">
      <c r="A7" s="14">
        <v>3</v>
      </c>
      <c r="B7" s="16" t="s">
        <v>30</v>
      </c>
      <c r="C7" s="17"/>
      <c r="D7" s="18">
        <v>4000000015</v>
      </c>
      <c r="E7" s="18" t="s">
        <v>39</v>
      </c>
      <c r="F7" s="18" t="s">
        <v>40</v>
      </c>
      <c r="G7" s="18" t="s">
        <v>41</v>
      </c>
      <c r="H7" s="19" t="s">
        <v>35</v>
      </c>
      <c r="I7" s="19">
        <v>2</v>
      </c>
      <c r="J7" s="19">
        <v>1</v>
      </c>
      <c r="K7" s="42"/>
      <c r="L7" s="42"/>
      <c r="M7" s="19">
        <f t="shared" si="0"/>
        <v>2</v>
      </c>
      <c r="N7" s="43"/>
      <c r="O7" s="43"/>
      <c r="P7" s="44">
        <v>1700</v>
      </c>
      <c r="Q7" s="58">
        <f t="shared" si="1"/>
        <v>3400</v>
      </c>
      <c r="R7" s="59"/>
      <c r="S7" s="14"/>
      <c r="T7" s="60" t="s">
        <v>36</v>
      </c>
      <c r="U7" s="14"/>
      <c r="V7" s="57"/>
    </row>
    <row r="8" s="1" customFormat="1" ht="34" customHeight="1" spans="1:22">
      <c r="A8" s="14">
        <v>4</v>
      </c>
      <c r="B8" s="16" t="s">
        <v>30</v>
      </c>
      <c r="C8" s="17"/>
      <c r="D8" s="18">
        <v>4100000031</v>
      </c>
      <c r="E8" s="18" t="s">
        <v>42</v>
      </c>
      <c r="F8" s="18" t="s">
        <v>43</v>
      </c>
      <c r="G8" s="18" t="s">
        <v>44</v>
      </c>
      <c r="H8" s="20" t="s">
        <v>35</v>
      </c>
      <c r="I8" s="33">
        <v>2</v>
      </c>
      <c r="J8" s="20">
        <v>1</v>
      </c>
      <c r="K8" s="45"/>
      <c r="L8" s="45"/>
      <c r="M8" s="19">
        <f t="shared" si="0"/>
        <v>2</v>
      </c>
      <c r="N8" s="46"/>
      <c r="O8" s="46"/>
      <c r="P8" s="47">
        <v>240</v>
      </c>
      <c r="Q8" s="58">
        <f t="shared" si="1"/>
        <v>480</v>
      </c>
      <c r="R8" s="61"/>
      <c r="S8" s="14"/>
      <c r="T8" s="60" t="s">
        <v>36</v>
      </c>
      <c r="U8" s="14"/>
      <c r="V8" s="57"/>
    </row>
    <row r="9" s="1" customFormat="1" ht="32" customHeight="1" spans="1:22">
      <c r="A9" s="14">
        <v>5</v>
      </c>
      <c r="B9" s="16" t="s">
        <v>30</v>
      </c>
      <c r="C9" s="17"/>
      <c r="D9" s="18">
        <v>4201000046</v>
      </c>
      <c r="E9" s="18" t="s">
        <v>45</v>
      </c>
      <c r="F9" s="18" t="s">
        <v>46</v>
      </c>
      <c r="G9" s="18" t="s">
        <v>47</v>
      </c>
      <c r="H9" s="18" t="s">
        <v>35</v>
      </c>
      <c r="I9" s="33">
        <v>2</v>
      </c>
      <c r="J9" s="19">
        <v>1</v>
      </c>
      <c r="K9" s="45"/>
      <c r="L9" s="45"/>
      <c r="M9" s="19">
        <f t="shared" si="0"/>
        <v>2</v>
      </c>
      <c r="N9" s="46"/>
      <c r="O9" s="46"/>
      <c r="P9" s="47">
        <v>280</v>
      </c>
      <c r="Q9" s="58">
        <f t="shared" si="1"/>
        <v>560</v>
      </c>
      <c r="R9" s="61"/>
      <c r="S9" s="14"/>
      <c r="T9" s="60" t="s">
        <v>36</v>
      </c>
      <c r="U9" s="14"/>
      <c r="V9" s="57"/>
    </row>
    <row r="10" s="1" customFormat="1" ht="40" customHeight="1" spans="1:22">
      <c r="A10" s="14">
        <v>6</v>
      </c>
      <c r="B10" s="16" t="s">
        <v>30</v>
      </c>
      <c r="C10" s="17"/>
      <c r="D10" s="18">
        <v>4201000011</v>
      </c>
      <c r="E10" s="18" t="s">
        <v>48</v>
      </c>
      <c r="F10" s="18" t="s">
        <v>49</v>
      </c>
      <c r="G10" s="18" t="s">
        <v>47</v>
      </c>
      <c r="H10" s="18" t="s">
        <v>35</v>
      </c>
      <c r="I10" s="33">
        <v>2</v>
      </c>
      <c r="J10" s="19">
        <v>1</v>
      </c>
      <c r="K10" s="45"/>
      <c r="L10" s="45"/>
      <c r="M10" s="19">
        <f t="shared" si="0"/>
        <v>2</v>
      </c>
      <c r="N10" s="46"/>
      <c r="O10" s="46"/>
      <c r="P10" s="47">
        <v>350</v>
      </c>
      <c r="Q10" s="58">
        <f t="shared" si="1"/>
        <v>700</v>
      </c>
      <c r="R10" s="61"/>
      <c r="S10" s="14"/>
      <c r="T10" s="60" t="s">
        <v>36</v>
      </c>
      <c r="U10" s="14"/>
      <c r="V10" s="57"/>
    </row>
    <row r="11" s="1" customFormat="1" ht="29" customHeight="1" spans="1:22">
      <c r="A11" s="14">
        <v>7</v>
      </c>
      <c r="B11" s="16" t="s">
        <v>30</v>
      </c>
      <c r="C11" s="17"/>
      <c r="D11" s="18">
        <v>4202000017</v>
      </c>
      <c r="E11" s="18" t="s">
        <v>50</v>
      </c>
      <c r="F11" s="18" t="s">
        <v>51</v>
      </c>
      <c r="G11" s="18" t="s">
        <v>47</v>
      </c>
      <c r="H11" s="18" t="s">
        <v>35</v>
      </c>
      <c r="I11" s="33">
        <v>4</v>
      </c>
      <c r="J11" s="19">
        <v>1</v>
      </c>
      <c r="K11" s="45"/>
      <c r="L11" s="45"/>
      <c r="M11" s="19">
        <f t="shared" si="0"/>
        <v>4</v>
      </c>
      <c r="N11" s="46"/>
      <c r="O11" s="46"/>
      <c r="P11" s="47">
        <v>10</v>
      </c>
      <c r="Q11" s="58">
        <f t="shared" si="1"/>
        <v>40</v>
      </c>
      <c r="R11" s="61"/>
      <c r="S11" s="14"/>
      <c r="T11" s="60" t="s">
        <v>36</v>
      </c>
      <c r="U11" s="14"/>
      <c r="V11" s="57"/>
    </row>
    <row r="12" s="2" customFormat="1" ht="30.75" customHeight="1" spans="1:22">
      <c r="A12" s="14">
        <v>8</v>
      </c>
      <c r="B12" s="16" t="s">
        <v>30</v>
      </c>
      <c r="C12" s="21" t="s">
        <v>52</v>
      </c>
      <c r="D12" s="18">
        <v>4202000029</v>
      </c>
      <c r="E12" s="18" t="s">
        <v>32</v>
      </c>
      <c r="F12" s="18" t="s">
        <v>33</v>
      </c>
      <c r="G12" s="18" t="s">
        <v>34</v>
      </c>
      <c r="H12" s="20" t="s">
        <v>35</v>
      </c>
      <c r="I12" s="33">
        <v>2</v>
      </c>
      <c r="J12" s="20">
        <v>1</v>
      </c>
      <c r="K12" s="45"/>
      <c r="L12" s="45"/>
      <c r="M12" s="19">
        <f t="shared" si="0"/>
        <v>2</v>
      </c>
      <c r="N12" s="46"/>
      <c r="O12" s="46"/>
      <c r="P12" s="47">
        <v>80</v>
      </c>
      <c r="Q12" s="58">
        <f t="shared" si="1"/>
        <v>160</v>
      </c>
      <c r="R12" s="61"/>
      <c r="S12" s="62"/>
      <c r="T12" s="60" t="s">
        <v>36</v>
      </c>
      <c r="U12" s="63"/>
      <c r="V12" s="64"/>
    </row>
    <row r="13" s="2" customFormat="1" ht="30.75" customHeight="1" spans="1:22">
      <c r="A13" s="14">
        <v>9</v>
      </c>
      <c r="B13" s="16" t="s">
        <v>30</v>
      </c>
      <c r="C13" s="21"/>
      <c r="D13" s="18">
        <v>3001000113</v>
      </c>
      <c r="E13" s="18" t="s">
        <v>37</v>
      </c>
      <c r="F13" s="18" t="s">
        <v>38</v>
      </c>
      <c r="G13" s="18" t="s">
        <v>34</v>
      </c>
      <c r="H13" s="20" t="s">
        <v>35</v>
      </c>
      <c r="I13" s="33">
        <v>2</v>
      </c>
      <c r="J13" s="19">
        <v>1</v>
      </c>
      <c r="K13" s="45"/>
      <c r="L13" s="45"/>
      <c r="M13" s="19">
        <f t="shared" si="0"/>
        <v>2</v>
      </c>
      <c r="N13" s="46"/>
      <c r="O13" s="46"/>
      <c r="P13" s="47">
        <v>120</v>
      </c>
      <c r="Q13" s="58">
        <f t="shared" si="1"/>
        <v>240</v>
      </c>
      <c r="R13" s="61"/>
      <c r="S13" s="62"/>
      <c r="T13" s="60" t="s">
        <v>36</v>
      </c>
      <c r="U13" s="63"/>
      <c r="V13" s="64"/>
    </row>
    <row r="14" s="2" customFormat="1" ht="30.75" customHeight="1" spans="1:22">
      <c r="A14" s="14">
        <v>10</v>
      </c>
      <c r="B14" s="16" t="s">
        <v>30</v>
      </c>
      <c r="C14" s="21"/>
      <c r="D14" s="18">
        <v>4000000015</v>
      </c>
      <c r="E14" s="18" t="s">
        <v>39</v>
      </c>
      <c r="F14" s="18" t="s">
        <v>40</v>
      </c>
      <c r="G14" s="18" t="s">
        <v>41</v>
      </c>
      <c r="H14" s="20" t="s">
        <v>35</v>
      </c>
      <c r="I14" s="33">
        <v>2</v>
      </c>
      <c r="J14" s="19">
        <v>1</v>
      </c>
      <c r="K14" s="45"/>
      <c r="L14" s="45"/>
      <c r="M14" s="19">
        <f t="shared" si="0"/>
        <v>2</v>
      </c>
      <c r="N14" s="46"/>
      <c r="O14" s="46"/>
      <c r="P14" s="47">
        <v>1700</v>
      </c>
      <c r="Q14" s="58">
        <f t="shared" si="1"/>
        <v>3400</v>
      </c>
      <c r="R14" s="61"/>
      <c r="S14" s="62"/>
      <c r="T14" s="60" t="s">
        <v>36</v>
      </c>
      <c r="U14" s="63"/>
      <c r="V14" s="64"/>
    </row>
    <row r="15" s="2" customFormat="1" ht="30.75" customHeight="1" spans="1:22">
      <c r="A15" s="14">
        <v>11</v>
      </c>
      <c r="B15" s="16" t="s">
        <v>30</v>
      </c>
      <c r="C15" s="21"/>
      <c r="D15" s="18">
        <v>4100000031</v>
      </c>
      <c r="E15" s="18" t="s">
        <v>42</v>
      </c>
      <c r="F15" s="18" t="s">
        <v>43</v>
      </c>
      <c r="G15" s="18" t="s">
        <v>44</v>
      </c>
      <c r="H15" s="20" t="s">
        <v>35</v>
      </c>
      <c r="I15" s="33">
        <v>2</v>
      </c>
      <c r="J15" s="19">
        <v>1</v>
      </c>
      <c r="K15" s="45"/>
      <c r="L15" s="45"/>
      <c r="M15" s="19">
        <f t="shared" si="0"/>
        <v>2</v>
      </c>
      <c r="N15" s="46"/>
      <c r="O15" s="46"/>
      <c r="P15" s="47">
        <v>240</v>
      </c>
      <c r="Q15" s="58">
        <f t="shared" si="1"/>
        <v>480</v>
      </c>
      <c r="R15" s="61"/>
      <c r="S15" s="62"/>
      <c r="T15" s="60" t="s">
        <v>36</v>
      </c>
      <c r="U15" s="63"/>
      <c r="V15" s="64"/>
    </row>
    <row r="16" s="2" customFormat="1" ht="30.75" customHeight="1" spans="1:22">
      <c r="A16" s="14">
        <v>12</v>
      </c>
      <c r="B16" s="16" t="s">
        <v>30</v>
      </c>
      <c r="C16" s="21"/>
      <c r="D16" s="18">
        <v>4201000046</v>
      </c>
      <c r="E16" s="18" t="s">
        <v>45</v>
      </c>
      <c r="F16" s="18" t="s">
        <v>46</v>
      </c>
      <c r="G16" s="18" t="s">
        <v>47</v>
      </c>
      <c r="H16" s="18" t="s">
        <v>35</v>
      </c>
      <c r="I16" s="33">
        <v>2</v>
      </c>
      <c r="J16" s="20">
        <v>1</v>
      </c>
      <c r="K16" s="45"/>
      <c r="L16" s="45"/>
      <c r="M16" s="19">
        <f t="shared" si="0"/>
        <v>2</v>
      </c>
      <c r="N16" s="46"/>
      <c r="O16" s="46"/>
      <c r="P16" s="47">
        <v>280</v>
      </c>
      <c r="Q16" s="58">
        <f t="shared" si="1"/>
        <v>560</v>
      </c>
      <c r="R16" s="61"/>
      <c r="S16" s="62"/>
      <c r="T16" s="60" t="s">
        <v>36</v>
      </c>
      <c r="U16" s="63"/>
      <c r="V16" s="64"/>
    </row>
    <row r="17" s="2" customFormat="1" ht="30.75" customHeight="1" spans="1:22">
      <c r="A17" s="14">
        <v>13</v>
      </c>
      <c r="B17" s="16" t="s">
        <v>30</v>
      </c>
      <c r="C17" s="21"/>
      <c r="D17" s="18">
        <v>4201000011</v>
      </c>
      <c r="E17" s="18" t="s">
        <v>48</v>
      </c>
      <c r="F17" s="18" t="s">
        <v>49</v>
      </c>
      <c r="G17" s="18" t="s">
        <v>47</v>
      </c>
      <c r="H17" s="18" t="s">
        <v>35</v>
      </c>
      <c r="I17" s="33">
        <v>2</v>
      </c>
      <c r="J17" s="19">
        <v>1</v>
      </c>
      <c r="K17" s="45"/>
      <c r="L17" s="45"/>
      <c r="M17" s="19">
        <f t="shared" si="0"/>
        <v>2</v>
      </c>
      <c r="N17" s="46"/>
      <c r="O17" s="46"/>
      <c r="P17" s="47">
        <v>350</v>
      </c>
      <c r="Q17" s="58">
        <f t="shared" si="1"/>
        <v>700</v>
      </c>
      <c r="R17" s="61"/>
      <c r="S17" s="62"/>
      <c r="T17" s="60" t="s">
        <v>36</v>
      </c>
      <c r="U17" s="63"/>
      <c r="V17" s="64"/>
    </row>
    <row r="18" s="2" customFormat="1" ht="30.75" customHeight="1" spans="1:22">
      <c r="A18" s="14">
        <v>14</v>
      </c>
      <c r="B18" s="16" t="s">
        <v>30</v>
      </c>
      <c r="C18" s="21"/>
      <c r="D18" s="18">
        <v>4202000017</v>
      </c>
      <c r="E18" s="18" t="s">
        <v>50</v>
      </c>
      <c r="F18" s="18" t="s">
        <v>51</v>
      </c>
      <c r="G18" s="18" t="s">
        <v>47</v>
      </c>
      <c r="H18" s="18" t="s">
        <v>35</v>
      </c>
      <c r="I18" s="33">
        <v>4</v>
      </c>
      <c r="J18" s="19">
        <v>1</v>
      </c>
      <c r="K18" s="45"/>
      <c r="L18" s="45"/>
      <c r="M18" s="19">
        <f t="shared" si="0"/>
        <v>4</v>
      </c>
      <c r="N18" s="46"/>
      <c r="O18" s="46"/>
      <c r="P18" s="47">
        <v>10</v>
      </c>
      <c r="Q18" s="58">
        <f t="shared" si="1"/>
        <v>40</v>
      </c>
      <c r="R18" s="61"/>
      <c r="S18" s="62"/>
      <c r="T18" s="60" t="s">
        <v>36</v>
      </c>
      <c r="U18" s="63"/>
      <c r="V18" s="64"/>
    </row>
    <row r="19" s="2" customFormat="1" ht="30.75" customHeight="1" spans="1:22">
      <c r="A19" s="14">
        <v>15</v>
      </c>
      <c r="B19" s="16" t="s">
        <v>30</v>
      </c>
      <c r="C19" s="21"/>
      <c r="D19" s="18">
        <v>4202000020</v>
      </c>
      <c r="E19" s="18" t="s">
        <v>53</v>
      </c>
      <c r="F19" s="18" t="s">
        <v>54</v>
      </c>
      <c r="G19" s="18" t="s">
        <v>47</v>
      </c>
      <c r="H19" s="18" t="s">
        <v>35</v>
      </c>
      <c r="I19" s="33">
        <v>1</v>
      </c>
      <c r="J19" s="19">
        <v>1</v>
      </c>
      <c r="K19" s="45"/>
      <c r="L19" s="45"/>
      <c r="M19" s="19">
        <f t="shared" si="0"/>
        <v>1</v>
      </c>
      <c r="N19" s="46"/>
      <c r="O19" s="46"/>
      <c r="P19" s="47">
        <v>980</v>
      </c>
      <c r="Q19" s="58">
        <f t="shared" si="1"/>
        <v>980</v>
      </c>
      <c r="R19" s="61" t="s">
        <v>55</v>
      </c>
      <c r="S19" s="62"/>
      <c r="T19" s="60"/>
      <c r="U19" s="63"/>
      <c r="V19" s="64"/>
    </row>
    <row r="20" s="2" customFormat="1" ht="30.75" customHeight="1" spans="1:22">
      <c r="A20" s="14">
        <v>16</v>
      </c>
      <c r="B20" s="16" t="s">
        <v>30</v>
      </c>
      <c r="C20" s="22" t="s">
        <v>56</v>
      </c>
      <c r="D20" s="18">
        <v>3001000044</v>
      </c>
      <c r="E20" s="18" t="s">
        <v>57</v>
      </c>
      <c r="F20" s="18" t="s">
        <v>58</v>
      </c>
      <c r="G20" s="18" t="s">
        <v>59</v>
      </c>
      <c r="H20" s="20" t="s">
        <v>35</v>
      </c>
      <c r="I20" s="33">
        <v>4</v>
      </c>
      <c r="J20" s="20">
        <v>1</v>
      </c>
      <c r="K20" s="45"/>
      <c r="L20" s="45"/>
      <c r="M20" s="19">
        <f t="shared" si="0"/>
        <v>4</v>
      </c>
      <c r="N20" s="46"/>
      <c r="O20" s="46"/>
      <c r="P20" s="47">
        <v>120</v>
      </c>
      <c r="Q20" s="58">
        <f t="shared" si="1"/>
        <v>480</v>
      </c>
      <c r="R20" s="65"/>
      <c r="S20" s="66"/>
      <c r="T20" s="60" t="s">
        <v>36</v>
      </c>
      <c r="U20" s="20"/>
      <c r="V20" s="64"/>
    </row>
    <row r="21" s="2" customFormat="1" ht="30.75" customHeight="1" spans="1:22">
      <c r="A21" s="14">
        <v>17</v>
      </c>
      <c r="B21" s="16" t="s">
        <v>30</v>
      </c>
      <c r="C21" s="22"/>
      <c r="D21" s="18">
        <v>3001000123</v>
      </c>
      <c r="E21" s="18" t="s">
        <v>60</v>
      </c>
      <c r="F21" s="18" t="s">
        <v>61</v>
      </c>
      <c r="G21" s="18" t="s">
        <v>59</v>
      </c>
      <c r="H21" s="20" t="s">
        <v>35</v>
      </c>
      <c r="I21" s="33">
        <v>8</v>
      </c>
      <c r="J21" s="19">
        <v>1</v>
      </c>
      <c r="K21" s="45"/>
      <c r="L21" s="45"/>
      <c r="M21" s="19">
        <f t="shared" si="0"/>
        <v>8</v>
      </c>
      <c r="N21" s="46"/>
      <c r="O21" s="46"/>
      <c r="P21" s="47">
        <v>350</v>
      </c>
      <c r="Q21" s="58">
        <f t="shared" si="1"/>
        <v>2800</v>
      </c>
      <c r="R21" s="65"/>
      <c r="S21" s="66"/>
      <c r="T21" s="60" t="s">
        <v>36</v>
      </c>
      <c r="U21" s="20"/>
      <c r="V21" s="64"/>
    </row>
    <row r="22" s="2" customFormat="1" ht="30.75" customHeight="1" spans="1:22">
      <c r="A22" s="14">
        <v>18</v>
      </c>
      <c r="B22" s="16" t="s">
        <v>30</v>
      </c>
      <c r="C22" s="22"/>
      <c r="D22" s="18"/>
      <c r="E22" s="18" t="s">
        <v>62</v>
      </c>
      <c r="F22" s="18"/>
      <c r="G22" s="18" t="s">
        <v>131</v>
      </c>
      <c r="H22" s="20" t="s">
        <v>35</v>
      </c>
      <c r="I22" s="33">
        <v>4</v>
      </c>
      <c r="J22" s="19">
        <v>1</v>
      </c>
      <c r="K22" s="45"/>
      <c r="L22" s="45"/>
      <c r="M22" s="19">
        <f t="shared" si="0"/>
        <v>4</v>
      </c>
      <c r="N22" s="46"/>
      <c r="O22" s="46"/>
      <c r="P22" s="47">
        <v>22000</v>
      </c>
      <c r="Q22" s="58">
        <f t="shared" si="1"/>
        <v>88000</v>
      </c>
      <c r="R22" s="65"/>
      <c r="S22" s="66"/>
      <c r="T22" s="60" t="s">
        <v>36</v>
      </c>
      <c r="U22" s="20"/>
      <c r="V22" s="64"/>
    </row>
    <row r="23" s="2" customFormat="1" ht="30.75" customHeight="1" spans="1:22">
      <c r="A23" s="14">
        <v>19</v>
      </c>
      <c r="B23" s="16" t="s">
        <v>30</v>
      </c>
      <c r="C23" s="22"/>
      <c r="D23" s="18"/>
      <c r="E23" s="18" t="s">
        <v>64</v>
      </c>
      <c r="F23" s="18"/>
      <c r="G23" s="18" t="s">
        <v>131</v>
      </c>
      <c r="H23" s="20" t="s">
        <v>35</v>
      </c>
      <c r="I23" s="33">
        <v>4</v>
      </c>
      <c r="J23" s="19">
        <v>1</v>
      </c>
      <c r="K23" s="45"/>
      <c r="L23" s="45"/>
      <c r="M23" s="19">
        <f t="shared" si="0"/>
        <v>4</v>
      </c>
      <c r="N23" s="46"/>
      <c r="O23" s="46"/>
      <c r="P23" s="47">
        <v>320</v>
      </c>
      <c r="Q23" s="58">
        <f t="shared" si="1"/>
        <v>1280</v>
      </c>
      <c r="R23" s="65"/>
      <c r="S23" s="66"/>
      <c r="T23" s="60" t="s">
        <v>36</v>
      </c>
      <c r="U23" s="20"/>
      <c r="V23" s="64"/>
    </row>
    <row r="24" s="2" customFormat="1" ht="30.75" customHeight="1" spans="1:22">
      <c r="A24" s="14">
        <v>20</v>
      </c>
      <c r="B24" s="16" t="s">
        <v>30</v>
      </c>
      <c r="C24" s="22"/>
      <c r="D24" s="18"/>
      <c r="E24" s="18" t="s">
        <v>66</v>
      </c>
      <c r="F24" s="20"/>
      <c r="G24" s="18" t="s">
        <v>131</v>
      </c>
      <c r="H24" s="20" t="s">
        <v>35</v>
      </c>
      <c r="I24" s="33">
        <v>4</v>
      </c>
      <c r="J24" s="20">
        <v>1</v>
      </c>
      <c r="K24" s="45"/>
      <c r="L24" s="45"/>
      <c r="M24" s="19">
        <f t="shared" si="0"/>
        <v>4</v>
      </c>
      <c r="N24" s="46"/>
      <c r="O24" s="46"/>
      <c r="P24" s="47">
        <v>10000</v>
      </c>
      <c r="Q24" s="58">
        <f t="shared" si="1"/>
        <v>40000</v>
      </c>
      <c r="R24" s="65"/>
      <c r="S24" s="66"/>
      <c r="T24" s="60" t="s">
        <v>36</v>
      </c>
      <c r="U24" s="20"/>
      <c r="V24" s="64"/>
    </row>
    <row r="25" s="3" customFormat="1" ht="30.75" customHeight="1" spans="1:22">
      <c r="A25" s="14">
        <v>21</v>
      </c>
      <c r="B25" s="16" t="s">
        <v>30</v>
      </c>
      <c r="C25" s="23"/>
      <c r="D25" s="24"/>
      <c r="E25" s="18" t="s">
        <v>68</v>
      </c>
      <c r="F25" s="19" t="s">
        <v>69</v>
      </c>
      <c r="G25" s="18" t="s">
        <v>44</v>
      </c>
      <c r="H25" s="19" t="s">
        <v>35</v>
      </c>
      <c r="I25" s="19">
        <v>4</v>
      </c>
      <c r="J25" s="19">
        <v>1</v>
      </c>
      <c r="K25" s="42"/>
      <c r="L25" s="42"/>
      <c r="M25" s="19">
        <f t="shared" si="0"/>
        <v>4</v>
      </c>
      <c r="N25" s="43"/>
      <c r="O25" s="43"/>
      <c r="P25" s="44">
        <v>2100</v>
      </c>
      <c r="Q25" s="58">
        <f t="shared" si="1"/>
        <v>8400</v>
      </c>
      <c r="R25" s="65"/>
      <c r="S25" s="67"/>
      <c r="T25" s="60" t="s">
        <v>36</v>
      </c>
      <c r="U25" s="68"/>
      <c r="V25" s="69"/>
    </row>
    <row r="26" s="2" customFormat="1" ht="30.75" customHeight="1" spans="1:22">
      <c r="A26" s="14">
        <v>22</v>
      </c>
      <c r="B26" s="16" t="s">
        <v>30</v>
      </c>
      <c r="C26" s="22"/>
      <c r="D26" s="18">
        <v>4201000112</v>
      </c>
      <c r="E26" s="18" t="s">
        <v>70</v>
      </c>
      <c r="F26" s="18" t="s">
        <v>71</v>
      </c>
      <c r="G26" s="18" t="s">
        <v>47</v>
      </c>
      <c r="H26" s="20" t="s">
        <v>35</v>
      </c>
      <c r="I26" s="33">
        <v>4</v>
      </c>
      <c r="J26" s="19">
        <v>1</v>
      </c>
      <c r="K26" s="45"/>
      <c r="L26" s="45"/>
      <c r="M26" s="19">
        <f t="shared" si="0"/>
        <v>4</v>
      </c>
      <c r="N26" s="46"/>
      <c r="O26" s="46"/>
      <c r="P26" s="47">
        <v>2100</v>
      </c>
      <c r="Q26" s="58">
        <f t="shared" si="1"/>
        <v>8400</v>
      </c>
      <c r="R26" s="65"/>
      <c r="S26" s="66"/>
      <c r="T26" s="60" t="s">
        <v>36</v>
      </c>
      <c r="U26" s="20"/>
      <c r="V26" s="64"/>
    </row>
    <row r="27" s="2" customFormat="1" ht="30.75" customHeight="1" spans="1:22">
      <c r="A27" s="14">
        <v>23</v>
      </c>
      <c r="B27" s="16" t="s">
        <v>30</v>
      </c>
      <c r="C27" s="22"/>
      <c r="D27" s="18">
        <v>4202000033</v>
      </c>
      <c r="E27" s="18" t="s">
        <v>72</v>
      </c>
      <c r="F27" s="18" t="s">
        <v>73</v>
      </c>
      <c r="G27" s="20" t="s">
        <v>47</v>
      </c>
      <c r="H27" s="20" t="s">
        <v>35</v>
      </c>
      <c r="I27" s="33">
        <v>8</v>
      </c>
      <c r="J27" s="19">
        <v>1</v>
      </c>
      <c r="K27" s="45"/>
      <c r="L27" s="45"/>
      <c r="M27" s="19">
        <f t="shared" si="0"/>
        <v>8</v>
      </c>
      <c r="N27" s="46"/>
      <c r="O27" s="46"/>
      <c r="P27" s="47">
        <v>10</v>
      </c>
      <c r="Q27" s="58">
        <f t="shared" si="1"/>
        <v>80</v>
      </c>
      <c r="R27" s="65"/>
      <c r="S27" s="66"/>
      <c r="T27" s="60" t="s">
        <v>36</v>
      </c>
      <c r="U27" s="20"/>
      <c r="V27" s="64"/>
    </row>
    <row r="28" s="2" customFormat="1" ht="30.75" customHeight="1" spans="1:22">
      <c r="A28" s="14">
        <v>24</v>
      </c>
      <c r="B28" s="16" t="s">
        <v>30</v>
      </c>
      <c r="C28" s="22"/>
      <c r="D28" s="18">
        <v>4202000032</v>
      </c>
      <c r="E28" s="18" t="s">
        <v>53</v>
      </c>
      <c r="F28" s="20" t="s">
        <v>74</v>
      </c>
      <c r="G28" s="20" t="s">
        <v>47</v>
      </c>
      <c r="H28" s="20" t="s">
        <v>35</v>
      </c>
      <c r="I28" s="33">
        <v>4</v>
      </c>
      <c r="J28" s="20">
        <v>1</v>
      </c>
      <c r="K28" s="45"/>
      <c r="L28" s="45"/>
      <c r="M28" s="19">
        <f t="shared" si="0"/>
        <v>4</v>
      </c>
      <c r="N28" s="46"/>
      <c r="O28" s="46"/>
      <c r="P28" s="47">
        <v>1350</v>
      </c>
      <c r="Q28" s="58">
        <f t="shared" si="1"/>
        <v>5400</v>
      </c>
      <c r="R28" s="65"/>
      <c r="S28" s="66"/>
      <c r="T28" s="60" t="s">
        <v>36</v>
      </c>
      <c r="U28" s="20"/>
      <c r="V28" s="64"/>
    </row>
    <row r="29" s="2" customFormat="1" ht="30.75" customHeight="1" spans="1:22">
      <c r="A29" s="14">
        <v>25</v>
      </c>
      <c r="B29" s="16" t="s">
        <v>30</v>
      </c>
      <c r="C29" s="22"/>
      <c r="D29" s="18">
        <v>2502000009</v>
      </c>
      <c r="E29" s="25" t="s">
        <v>75</v>
      </c>
      <c r="F29" s="18" t="s">
        <v>76</v>
      </c>
      <c r="G29" s="18" t="s">
        <v>77</v>
      </c>
      <c r="H29" s="19" t="s">
        <v>35</v>
      </c>
      <c r="I29" s="33">
        <v>2</v>
      </c>
      <c r="J29" s="19">
        <v>1</v>
      </c>
      <c r="K29" s="45"/>
      <c r="L29" s="45"/>
      <c r="M29" s="19">
        <f t="shared" si="0"/>
        <v>2</v>
      </c>
      <c r="N29" s="46"/>
      <c r="O29" s="46"/>
      <c r="P29" s="47">
        <v>1000</v>
      </c>
      <c r="Q29" s="58">
        <f t="shared" si="1"/>
        <v>2000</v>
      </c>
      <c r="R29" s="65"/>
      <c r="S29" s="66"/>
      <c r="T29" s="60" t="s">
        <v>36</v>
      </c>
      <c r="U29" s="20"/>
      <c r="V29" s="64"/>
    </row>
    <row r="30" s="2" customFormat="1" ht="30.75" customHeight="1" spans="1:22">
      <c r="A30" s="14">
        <v>26</v>
      </c>
      <c r="B30" s="16" t="s">
        <v>30</v>
      </c>
      <c r="C30" s="22"/>
      <c r="D30" s="18">
        <v>2502000010</v>
      </c>
      <c r="E30" s="25" t="s">
        <v>78</v>
      </c>
      <c r="F30" s="18" t="s">
        <v>79</v>
      </c>
      <c r="G30" s="18" t="s">
        <v>77</v>
      </c>
      <c r="H30" s="19" t="s">
        <v>35</v>
      </c>
      <c r="I30" s="33">
        <v>2</v>
      </c>
      <c r="J30" s="19">
        <v>1</v>
      </c>
      <c r="K30" s="45"/>
      <c r="L30" s="45"/>
      <c r="M30" s="19">
        <f t="shared" si="0"/>
        <v>2</v>
      </c>
      <c r="N30" s="46"/>
      <c r="O30" s="46"/>
      <c r="P30" s="47">
        <v>1000</v>
      </c>
      <c r="Q30" s="58">
        <f t="shared" si="1"/>
        <v>2000</v>
      </c>
      <c r="R30" s="65"/>
      <c r="S30" s="66"/>
      <c r="T30" s="60" t="s">
        <v>36</v>
      </c>
      <c r="U30" s="20"/>
      <c r="V30" s="64"/>
    </row>
    <row r="31" s="2" customFormat="1" ht="30.75" customHeight="1" spans="1:22">
      <c r="A31" s="14">
        <v>27</v>
      </c>
      <c r="B31" s="16" t="s">
        <v>30</v>
      </c>
      <c r="C31" s="22" t="s">
        <v>80</v>
      </c>
      <c r="D31" s="18">
        <v>4202000029</v>
      </c>
      <c r="E31" s="18" t="s">
        <v>32</v>
      </c>
      <c r="F31" s="18" t="s">
        <v>33</v>
      </c>
      <c r="G31" s="18" t="s">
        <v>34</v>
      </c>
      <c r="H31" s="20" t="s">
        <v>35</v>
      </c>
      <c r="I31" s="33">
        <v>2</v>
      </c>
      <c r="J31" s="19">
        <v>1</v>
      </c>
      <c r="K31" s="45"/>
      <c r="L31" s="45"/>
      <c r="M31" s="19">
        <f t="shared" si="0"/>
        <v>2</v>
      </c>
      <c r="N31" s="46"/>
      <c r="O31" s="46"/>
      <c r="P31" s="47">
        <v>60</v>
      </c>
      <c r="Q31" s="58">
        <f t="shared" si="1"/>
        <v>120</v>
      </c>
      <c r="R31" s="65"/>
      <c r="S31" s="66"/>
      <c r="T31" s="60" t="s">
        <v>36</v>
      </c>
      <c r="U31" s="20"/>
      <c r="V31" s="64"/>
    </row>
    <row r="32" s="2" customFormat="1" ht="30.75" customHeight="1" spans="1:22">
      <c r="A32" s="14">
        <v>28</v>
      </c>
      <c r="B32" s="16" t="s">
        <v>30</v>
      </c>
      <c r="C32" s="22"/>
      <c r="D32" s="18">
        <v>3001000113</v>
      </c>
      <c r="E32" s="18" t="s">
        <v>37</v>
      </c>
      <c r="F32" s="18" t="s">
        <v>38</v>
      </c>
      <c r="G32" s="18" t="s">
        <v>34</v>
      </c>
      <c r="H32" s="20" t="s">
        <v>35</v>
      </c>
      <c r="I32" s="33">
        <v>2</v>
      </c>
      <c r="J32" s="20">
        <v>1</v>
      </c>
      <c r="K32" s="45"/>
      <c r="L32" s="45"/>
      <c r="M32" s="19">
        <f t="shared" si="0"/>
        <v>2</v>
      </c>
      <c r="N32" s="46"/>
      <c r="O32" s="46"/>
      <c r="P32" s="47">
        <v>80</v>
      </c>
      <c r="Q32" s="58">
        <f t="shared" si="1"/>
        <v>160</v>
      </c>
      <c r="R32" s="65"/>
      <c r="S32" s="66"/>
      <c r="T32" s="60" t="s">
        <v>36</v>
      </c>
      <c r="U32" s="20"/>
      <c r="V32" s="64"/>
    </row>
    <row r="33" s="2" customFormat="1" ht="30.75" customHeight="1" spans="1:22">
      <c r="A33" s="14">
        <v>29</v>
      </c>
      <c r="B33" s="16" t="s">
        <v>30</v>
      </c>
      <c r="C33" s="22"/>
      <c r="D33" s="18">
        <v>4000000038</v>
      </c>
      <c r="E33" s="18" t="s">
        <v>81</v>
      </c>
      <c r="F33" s="18" t="s">
        <v>82</v>
      </c>
      <c r="G33" s="18" t="s">
        <v>41</v>
      </c>
      <c r="H33" s="20" t="s">
        <v>35</v>
      </c>
      <c r="I33" s="33">
        <v>2</v>
      </c>
      <c r="J33" s="19">
        <v>1</v>
      </c>
      <c r="K33" s="45"/>
      <c r="L33" s="45"/>
      <c r="M33" s="19">
        <f t="shared" si="0"/>
        <v>2</v>
      </c>
      <c r="N33" s="46"/>
      <c r="O33" s="46"/>
      <c r="P33" s="47">
        <v>1350</v>
      </c>
      <c r="Q33" s="58">
        <f t="shared" si="1"/>
        <v>2700</v>
      </c>
      <c r="R33" s="65"/>
      <c r="S33" s="66"/>
      <c r="T33" s="60" t="s">
        <v>36</v>
      </c>
      <c r="U33" s="20"/>
      <c r="V33" s="64"/>
    </row>
    <row r="34" s="2" customFormat="1" ht="30.75" customHeight="1" spans="1:22">
      <c r="A34" s="14">
        <v>30</v>
      </c>
      <c r="B34" s="16" t="s">
        <v>30</v>
      </c>
      <c r="C34" s="22"/>
      <c r="D34" s="18">
        <v>4100000032</v>
      </c>
      <c r="E34" s="18" t="s">
        <v>42</v>
      </c>
      <c r="F34" s="18" t="s">
        <v>83</v>
      </c>
      <c r="G34" s="18" t="s">
        <v>44</v>
      </c>
      <c r="H34" s="19" t="s">
        <v>35</v>
      </c>
      <c r="I34" s="19">
        <v>2</v>
      </c>
      <c r="J34" s="19">
        <v>1</v>
      </c>
      <c r="K34" s="45"/>
      <c r="L34" s="45"/>
      <c r="M34" s="19">
        <f t="shared" si="0"/>
        <v>2</v>
      </c>
      <c r="N34" s="43"/>
      <c r="O34" s="43"/>
      <c r="P34" s="44">
        <v>220</v>
      </c>
      <c r="Q34" s="58">
        <f t="shared" si="1"/>
        <v>440</v>
      </c>
      <c r="R34" s="65"/>
      <c r="S34" s="66"/>
      <c r="T34" s="60" t="s">
        <v>36</v>
      </c>
      <c r="U34" s="20"/>
      <c r="V34" s="64"/>
    </row>
    <row r="35" s="2" customFormat="1" ht="30.75" customHeight="1" spans="1:22">
      <c r="A35" s="14">
        <v>31</v>
      </c>
      <c r="B35" s="16" t="s">
        <v>30</v>
      </c>
      <c r="C35" s="22"/>
      <c r="D35" s="18">
        <v>4201000054</v>
      </c>
      <c r="E35" s="18" t="s">
        <v>84</v>
      </c>
      <c r="F35" s="18" t="s">
        <v>85</v>
      </c>
      <c r="G35" s="18" t="s">
        <v>47</v>
      </c>
      <c r="H35" s="20" t="s">
        <v>35</v>
      </c>
      <c r="I35" s="33">
        <v>2</v>
      </c>
      <c r="J35" s="19">
        <v>1</v>
      </c>
      <c r="K35" s="45"/>
      <c r="L35" s="45"/>
      <c r="M35" s="19">
        <f t="shared" si="0"/>
        <v>2</v>
      </c>
      <c r="N35" s="46"/>
      <c r="O35" s="46"/>
      <c r="P35" s="47">
        <v>600</v>
      </c>
      <c r="Q35" s="58">
        <f t="shared" si="1"/>
        <v>1200</v>
      </c>
      <c r="R35" s="65"/>
      <c r="S35" s="66"/>
      <c r="T35" s="60" t="s">
        <v>36</v>
      </c>
      <c r="U35" s="20"/>
      <c r="V35" s="64"/>
    </row>
    <row r="36" s="2" customFormat="1" ht="30.75" customHeight="1" spans="1:22">
      <c r="A36" s="14">
        <v>32</v>
      </c>
      <c r="B36" s="16" t="s">
        <v>30</v>
      </c>
      <c r="C36" s="22"/>
      <c r="D36" s="18">
        <v>4201000024</v>
      </c>
      <c r="E36" s="18" t="s">
        <v>86</v>
      </c>
      <c r="F36" s="18" t="s">
        <v>87</v>
      </c>
      <c r="G36" s="18" t="s">
        <v>47</v>
      </c>
      <c r="H36" s="20" t="s">
        <v>35</v>
      </c>
      <c r="I36" s="33">
        <v>1</v>
      </c>
      <c r="J36" s="20">
        <v>1</v>
      </c>
      <c r="K36" s="45"/>
      <c r="L36" s="45"/>
      <c r="M36" s="19">
        <f t="shared" si="0"/>
        <v>1</v>
      </c>
      <c r="N36" s="46"/>
      <c r="O36" s="46"/>
      <c r="P36" s="47">
        <v>390</v>
      </c>
      <c r="Q36" s="58">
        <f t="shared" si="1"/>
        <v>390</v>
      </c>
      <c r="R36" s="65"/>
      <c r="S36" s="66"/>
      <c r="T36" s="60" t="s">
        <v>36</v>
      </c>
      <c r="U36" s="20"/>
      <c r="V36" s="64"/>
    </row>
    <row r="37" s="2" customFormat="1" ht="30.75" customHeight="1" spans="1:22">
      <c r="A37" s="14">
        <v>33</v>
      </c>
      <c r="B37" s="16" t="s">
        <v>30</v>
      </c>
      <c r="C37" s="22"/>
      <c r="D37" s="18">
        <v>4202000017</v>
      </c>
      <c r="E37" s="18" t="s">
        <v>50</v>
      </c>
      <c r="F37" s="18" t="s">
        <v>51</v>
      </c>
      <c r="G37" s="18" t="s">
        <v>47</v>
      </c>
      <c r="H37" s="20" t="s">
        <v>35</v>
      </c>
      <c r="I37" s="33">
        <v>3</v>
      </c>
      <c r="J37" s="19">
        <v>1</v>
      </c>
      <c r="K37" s="45"/>
      <c r="L37" s="45"/>
      <c r="M37" s="19">
        <f t="shared" si="0"/>
        <v>3</v>
      </c>
      <c r="N37" s="46"/>
      <c r="O37" s="46"/>
      <c r="P37" s="47">
        <v>10</v>
      </c>
      <c r="Q37" s="58">
        <f t="shared" si="1"/>
        <v>30</v>
      </c>
      <c r="R37" s="65"/>
      <c r="S37" s="66"/>
      <c r="T37" s="60" t="s">
        <v>36</v>
      </c>
      <c r="U37" s="20"/>
      <c r="V37" s="64"/>
    </row>
    <row r="38" s="2" customFormat="1" ht="30.75" customHeight="1" spans="1:22">
      <c r="A38" s="14">
        <v>34</v>
      </c>
      <c r="B38" s="16" t="s">
        <v>30</v>
      </c>
      <c r="C38" s="26" t="s">
        <v>88</v>
      </c>
      <c r="D38" s="18">
        <v>4202000029</v>
      </c>
      <c r="E38" s="18" t="s">
        <v>32</v>
      </c>
      <c r="F38" s="18" t="s">
        <v>33</v>
      </c>
      <c r="G38" s="18" t="s">
        <v>34</v>
      </c>
      <c r="H38" s="20" t="s">
        <v>35</v>
      </c>
      <c r="I38" s="33">
        <v>1</v>
      </c>
      <c r="J38" s="19">
        <v>1</v>
      </c>
      <c r="K38" s="45"/>
      <c r="L38" s="45"/>
      <c r="M38" s="19">
        <f t="shared" ref="M38:M60" si="2">I38*J38</f>
        <v>1</v>
      </c>
      <c r="N38" s="46"/>
      <c r="O38" s="46"/>
      <c r="P38" s="47">
        <v>60</v>
      </c>
      <c r="Q38" s="58">
        <f t="shared" ref="Q38:Q60" si="3">M38*P38</f>
        <v>60</v>
      </c>
      <c r="R38" s="65"/>
      <c r="S38" s="66"/>
      <c r="T38" s="60" t="s">
        <v>36</v>
      </c>
      <c r="U38" s="20"/>
      <c r="V38" s="64"/>
    </row>
    <row r="39" s="2" customFormat="1" ht="30.75" customHeight="1" spans="1:22">
      <c r="A39" s="14">
        <v>35</v>
      </c>
      <c r="B39" s="16" t="s">
        <v>30</v>
      </c>
      <c r="C39" s="27"/>
      <c r="D39" s="18">
        <v>3001000113</v>
      </c>
      <c r="E39" s="18" t="s">
        <v>37</v>
      </c>
      <c r="F39" s="18" t="s">
        <v>38</v>
      </c>
      <c r="G39" s="18" t="s">
        <v>34</v>
      </c>
      <c r="H39" s="20" t="s">
        <v>35</v>
      </c>
      <c r="I39" s="33">
        <v>1</v>
      </c>
      <c r="J39" s="19">
        <v>1</v>
      </c>
      <c r="K39" s="45"/>
      <c r="L39" s="45"/>
      <c r="M39" s="19">
        <f t="shared" si="2"/>
        <v>1</v>
      </c>
      <c r="N39" s="46"/>
      <c r="O39" s="46"/>
      <c r="P39" s="47">
        <v>80</v>
      </c>
      <c r="Q39" s="58">
        <f t="shared" si="3"/>
        <v>80</v>
      </c>
      <c r="R39" s="65"/>
      <c r="S39" s="66"/>
      <c r="T39" s="60" t="s">
        <v>36</v>
      </c>
      <c r="U39" s="20"/>
      <c r="V39" s="64"/>
    </row>
    <row r="40" s="3" customFormat="1" ht="30.75" customHeight="1" spans="1:22">
      <c r="A40" s="14">
        <v>36</v>
      </c>
      <c r="B40" s="16" t="s">
        <v>30</v>
      </c>
      <c r="C40" s="28"/>
      <c r="D40" s="18"/>
      <c r="E40" s="18" t="s">
        <v>89</v>
      </c>
      <c r="F40" s="18" t="s">
        <v>90</v>
      </c>
      <c r="G40" s="18" t="s">
        <v>41</v>
      </c>
      <c r="H40" s="19" t="s">
        <v>35</v>
      </c>
      <c r="I40" s="19">
        <v>1</v>
      </c>
      <c r="J40" s="20">
        <v>1</v>
      </c>
      <c r="K40" s="48"/>
      <c r="L40" s="48"/>
      <c r="M40" s="19">
        <f t="shared" si="2"/>
        <v>1</v>
      </c>
      <c r="N40" s="49"/>
      <c r="O40" s="49"/>
      <c r="P40" s="44">
        <v>1150</v>
      </c>
      <c r="Q40" s="58">
        <f t="shared" si="3"/>
        <v>1150</v>
      </c>
      <c r="R40" s="65"/>
      <c r="S40" s="67"/>
      <c r="T40" s="60" t="s">
        <v>36</v>
      </c>
      <c r="U40" s="68"/>
      <c r="V40" s="69"/>
    </row>
    <row r="41" s="2" customFormat="1" ht="30.75" customHeight="1" spans="1:22">
      <c r="A41" s="14">
        <v>37</v>
      </c>
      <c r="B41" s="16" t="s">
        <v>30</v>
      </c>
      <c r="C41" s="27"/>
      <c r="D41" s="18">
        <v>4100000052</v>
      </c>
      <c r="E41" s="18" t="s">
        <v>42</v>
      </c>
      <c r="F41" s="18" t="s">
        <v>91</v>
      </c>
      <c r="G41" s="18" t="s">
        <v>44</v>
      </c>
      <c r="H41" s="19" t="s">
        <v>35</v>
      </c>
      <c r="I41" s="19">
        <v>1</v>
      </c>
      <c r="J41" s="19">
        <v>1</v>
      </c>
      <c r="K41" s="45"/>
      <c r="L41" s="45"/>
      <c r="M41" s="19">
        <f t="shared" si="2"/>
        <v>1</v>
      </c>
      <c r="N41" s="43"/>
      <c r="O41" s="43"/>
      <c r="P41" s="44">
        <v>220</v>
      </c>
      <c r="Q41" s="58">
        <f t="shared" si="3"/>
        <v>220</v>
      </c>
      <c r="R41" s="65"/>
      <c r="S41" s="66"/>
      <c r="T41" s="60" t="s">
        <v>36</v>
      </c>
      <c r="U41" s="20"/>
      <c r="V41" s="64"/>
    </row>
    <row r="42" s="2" customFormat="1" ht="30.75" customHeight="1" spans="1:22">
      <c r="A42" s="14">
        <v>38</v>
      </c>
      <c r="B42" s="16" t="s">
        <v>30</v>
      </c>
      <c r="C42" s="27"/>
      <c r="D42" s="18">
        <v>4201000054</v>
      </c>
      <c r="E42" s="18" t="s">
        <v>84</v>
      </c>
      <c r="F42" s="18" t="s">
        <v>85</v>
      </c>
      <c r="G42" s="18" t="s">
        <v>47</v>
      </c>
      <c r="H42" s="20" t="s">
        <v>35</v>
      </c>
      <c r="I42" s="33">
        <v>1</v>
      </c>
      <c r="J42" s="19">
        <v>1</v>
      </c>
      <c r="K42" s="45"/>
      <c r="L42" s="45"/>
      <c r="M42" s="19">
        <f t="shared" si="2"/>
        <v>1</v>
      </c>
      <c r="N42" s="46"/>
      <c r="O42" s="46"/>
      <c r="P42" s="47">
        <v>600</v>
      </c>
      <c r="Q42" s="58">
        <f t="shared" si="3"/>
        <v>600</v>
      </c>
      <c r="R42" s="65"/>
      <c r="S42" s="66"/>
      <c r="T42" s="60" t="s">
        <v>36</v>
      </c>
      <c r="U42" s="20"/>
      <c r="V42" s="64"/>
    </row>
    <row r="43" s="2" customFormat="1" ht="30.75" customHeight="1" spans="1:22">
      <c r="A43" s="14">
        <v>39</v>
      </c>
      <c r="B43" s="16" t="s">
        <v>30</v>
      </c>
      <c r="C43" s="29"/>
      <c r="D43" s="18">
        <v>4202000017</v>
      </c>
      <c r="E43" s="18" t="s">
        <v>50</v>
      </c>
      <c r="F43" s="18" t="s">
        <v>51</v>
      </c>
      <c r="G43" s="18" t="s">
        <v>47</v>
      </c>
      <c r="H43" s="20" t="s">
        <v>35</v>
      </c>
      <c r="I43" s="33">
        <v>1</v>
      </c>
      <c r="J43" s="19">
        <v>1</v>
      </c>
      <c r="K43" s="45"/>
      <c r="L43" s="45"/>
      <c r="M43" s="19">
        <f t="shared" si="2"/>
        <v>1</v>
      </c>
      <c r="N43" s="46"/>
      <c r="O43" s="46"/>
      <c r="P43" s="47">
        <v>10</v>
      </c>
      <c r="Q43" s="58">
        <f t="shared" si="3"/>
        <v>10</v>
      </c>
      <c r="R43" s="65"/>
      <c r="S43" s="66"/>
      <c r="T43" s="60" t="s">
        <v>36</v>
      </c>
      <c r="U43" s="20"/>
      <c r="V43" s="64"/>
    </row>
    <row r="44" s="2" customFormat="1" ht="30.75" customHeight="1" spans="1:22">
      <c r="A44" s="14">
        <v>40</v>
      </c>
      <c r="B44" s="16" t="s">
        <v>30</v>
      </c>
      <c r="C44" s="26" t="s">
        <v>92</v>
      </c>
      <c r="D44" s="18">
        <v>4202000029</v>
      </c>
      <c r="E44" s="18" t="s">
        <v>32</v>
      </c>
      <c r="F44" s="18" t="s">
        <v>33</v>
      </c>
      <c r="G44" s="18" t="s">
        <v>34</v>
      </c>
      <c r="H44" s="19" t="s">
        <v>35</v>
      </c>
      <c r="I44" s="19">
        <v>1</v>
      </c>
      <c r="J44" s="20">
        <v>1</v>
      </c>
      <c r="K44" s="42"/>
      <c r="L44" s="42"/>
      <c r="M44" s="19">
        <f t="shared" si="2"/>
        <v>1</v>
      </c>
      <c r="N44" s="43"/>
      <c r="O44" s="43"/>
      <c r="P44" s="44">
        <v>60</v>
      </c>
      <c r="Q44" s="58">
        <f t="shared" si="3"/>
        <v>60</v>
      </c>
      <c r="R44" s="70"/>
      <c r="S44" s="66"/>
      <c r="T44" s="60" t="s">
        <v>36</v>
      </c>
      <c r="U44" s="20"/>
      <c r="V44" s="64"/>
    </row>
    <row r="45" s="2" customFormat="1" ht="30.75" customHeight="1" spans="1:22">
      <c r="A45" s="14">
        <v>41</v>
      </c>
      <c r="B45" s="16" t="s">
        <v>30</v>
      </c>
      <c r="C45" s="27"/>
      <c r="D45" s="18">
        <v>3001000113</v>
      </c>
      <c r="E45" s="18" t="s">
        <v>37</v>
      </c>
      <c r="F45" s="18" t="s">
        <v>38</v>
      </c>
      <c r="G45" s="18" t="s">
        <v>34</v>
      </c>
      <c r="H45" s="19" t="s">
        <v>35</v>
      </c>
      <c r="I45" s="19">
        <v>1</v>
      </c>
      <c r="J45" s="19">
        <v>1</v>
      </c>
      <c r="K45" s="42"/>
      <c r="L45" s="42"/>
      <c r="M45" s="19">
        <f t="shared" si="2"/>
        <v>1</v>
      </c>
      <c r="N45" s="43"/>
      <c r="O45" s="43"/>
      <c r="P45" s="44">
        <v>80</v>
      </c>
      <c r="Q45" s="58">
        <f t="shared" si="3"/>
        <v>80</v>
      </c>
      <c r="R45" s="70"/>
      <c r="S45" s="66"/>
      <c r="T45" s="60" t="s">
        <v>36</v>
      </c>
      <c r="U45" s="20"/>
      <c r="V45" s="64"/>
    </row>
    <row r="46" s="2" customFormat="1" ht="30.75" customHeight="1" spans="1:22">
      <c r="A46" s="14">
        <v>42</v>
      </c>
      <c r="B46" s="16" t="s">
        <v>30</v>
      </c>
      <c r="C46" s="27"/>
      <c r="D46" s="18">
        <v>4000000019</v>
      </c>
      <c r="E46" s="18" t="s">
        <v>93</v>
      </c>
      <c r="F46" s="18" t="s">
        <v>94</v>
      </c>
      <c r="G46" s="18" t="s">
        <v>95</v>
      </c>
      <c r="H46" s="19" t="s">
        <v>35</v>
      </c>
      <c r="I46" s="19">
        <v>1</v>
      </c>
      <c r="J46" s="19">
        <v>1</v>
      </c>
      <c r="K46" s="42"/>
      <c r="L46" s="42"/>
      <c r="M46" s="19">
        <f t="shared" si="2"/>
        <v>1</v>
      </c>
      <c r="N46" s="43"/>
      <c r="O46" s="43"/>
      <c r="P46" s="44">
        <v>1700</v>
      </c>
      <c r="Q46" s="58">
        <f t="shared" si="3"/>
        <v>1700</v>
      </c>
      <c r="R46" s="70"/>
      <c r="S46" s="66"/>
      <c r="T46" s="60" t="s">
        <v>36</v>
      </c>
      <c r="U46" s="20"/>
      <c r="V46" s="64"/>
    </row>
    <row r="47" s="3" customFormat="1" ht="30.75" customHeight="1" spans="1:22">
      <c r="A47" s="14">
        <v>43</v>
      </c>
      <c r="B47" s="16" t="s">
        <v>30</v>
      </c>
      <c r="C47" s="27"/>
      <c r="D47" s="18">
        <v>4100000029</v>
      </c>
      <c r="E47" s="18" t="s">
        <v>42</v>
      </c>
      <c r="F47" s="18" t="s">
        <v>96</v>
      </c>
      <c r="G47" s="18" t="s">
        <v>44</v>
      </c>
      <c r="H47" s="19" t="s">
        <v>35</v>
      </c>
      <c r="I47" s="19">
        <v>1</v>
      </c>
      <c r="J47" s="19">
        <v>1</v>
      </c>
      <c r="K47" s="42"/>
      <c r="L47" s="42"/>
      <c r="M47" s="19">
        <f t="shared" si="2"/>
        <v>1</v>
      </c>
      <c r="N47" s="43"/>
      <c r="O47" s="43"/>
      <c r="P47" s="44">
        <v>450</v>
      </c>
      <c r="Q47" s="58">
        <f t="shared" si="3"/>
        <v>450</v>
      </c>
      <c r="R47" s="70"/>
      <c r="S47" s="67"/>
      <c r="T47" s="60" t="s">
        <v>36</v>
      </c>
      <c r="U47" s="68"/>
      <c r="V47" s="69"/>
    </row>
    <row r="48" s="2" customFormat="1" ht="30.75" customHeight="1" spans="1:22">
      <c r="A48" s="14">
        <v>44</v>
      </c>
      <c r="B48" s="16" t="s">
        <v>30</v>
      </c>
      <c r="C48" s="27"/>
      <c r="D48" s="18">
        <v>4201000055</v>
      </c>
      <c r="E48" s="18" t="s">
        <v>45</v>
      </c>
      <c r="F48" s="18" t="s">
        <v>97</v>
      </c>
      <c r="G48" s="18" t="s">
        <v>47</v>
      </c>
      <c r="H48" s="19" t="s">
        <v>35</v>
      </c>
      <c r="I48" s="19">
        <v>1</v>
      </c>
      <c r="J48" s="20">
        <v>1</v>
      </c>
      <c r="K48" s="42"/>
      <c r="L48" s="42"/>
      <c r="M48" s="19">
        <f t="shared" si="2"/>
        <v>1</v>
      </c>
      <c r="N48" s="43"/>
      <c r="O48" s="43"/>
      <c r="P48" s="44">
        <v>650</v>
      </c>
      <c r="Q48" s="58">
        <f t="shared" si="3"/>
        <v>650</v>
      </c>
      <c r="R48" s="70"/>
      <c r="S48" s="66"/>
      <c r="T48" s="60" t="s">
        <v>36</v>
      </c>
      <c r="U48" s="20"/>
      <c r="V48" s="64"/>
    </row>
    <row r="49" s="2" customFormat="1" ht="30.75" customHeight="1" spans="1:22">
      <c r="A49" s="14">
        <v>45</v>
      </c>
      <c r="B49" s="16" t="s">
        <v>30</v>
      </c>
      <c r="C49" s="27"/>
      <c r="D49" s="18">
        <v>4202000017</v>
      </c>
      <c r="E49" s="18" t="s">
        <v>50</v>
      </c>
      <c r="F49" s="18" t="s">
        <v>51</v>
      </c>
      <c r="G49" s="18" t="s">
        <v>47</v>
      </c>
      <c r="H49" s="19" t="s">
        <v>35</v>
      </c>
      <c r="I49" s="19">
        <v>1</v>
      </c>
      <c r="J49" s="19">
        <v>1</v>
      </c>
      <c r="K49" s="42"/>
      <c r="L49" s="42"/>
      <c r="M49" s="19">
        <f t="shared" si="2"/>
        <v>1</v>
      </c>
      <c r="N49" s="43"/>
      <c r="O49" s="43"/>
      <c r="P49" s="44">
        <v>10</v>
      </c>
      <c r="Q49" s="58">
        <f t="shared" si="3"/>
        <v>10</v>
      </c>
      <c r="R49" s="70"/>
      <c r="S49" s="66"/>
      <c r="T49" s="60" t="s">
        <v>36</v>
      </c>
      <c r="U49" s="20"/>
      <c r="V49" s="64"/>
    </row>
    <row r="50" s="3" customFormat="1" ht="30.75" customHeight="1" spans="1:22">
      <c r="A50" s="14">
        <v>46</v>
      </c>
      <c r="B50" s="16" t="s">
        <v>30</v>
      </c>
      <c r="C50" s="27"/>
      <c r="D50" s="30">
        <v>4202000020</v>
      </c>
      <c r="E50" s="30" t="s">
        <v>53</v>
      </c>
      <c r="F50" s="30" t="s">
        <v>54</v>
      </c>
      <c r="G50" s="30" t="s">
        <v>47</v>
      </c>
      <c r="H50" s="31" t="s">
        <v>35</v>
      </c>
      <c r="I50" s="31">
        <v>1</v>
      </c>
      <c r="J50" s="19">
        <v>1</v>
      </c>
      <c r="K50" s="50"/>
      <c r="L50" s="50"/>
      <c r="M50" s="19">
        <f t="shared" si="2"/>
        <v>1</v>
      </c>
      <c r="N50" s="51"/>
      <c r="O50" s="51"/>
      <c r="P50" s="52">
        <v>980</v>
      </c>
      <c r="Q50" s="58">
        <f t="shared" si="3"/>
        <v>980</v>
      </c>
      <c r="R50" s="65" t="s">
        <v>98</v>
      </c>
      <c r="S50" s="67"/>
      <c r="T50" s="60"/>
      <c r="U50" s="68"/>
      <c r="V50" s="69"/>
    </row>
    <row r="51" s="2" customFormat="1" ht="30.75" customHeight="1" spans="1:22">
      <c r="A51" s="14">
        <v>47</v>
      </c>
      <c r="B51" s="16" t="s">
        <v>30</v>
      </c>
      <c r="C51" s="32"/>
      <c r="D51" s="18">
        <v>4400000048</v>
      </c>
      <c r="E51" s="18" t="s">
        <v>99</v>
      </c>
      <c r="F51" s="18" t="s">
        <v>100</v>
      </c>
      <c r="G51" s="18" t="s">
        <v>59</v>
      </c>
      <c r="H51" s="20" t="s">
        <v>35</v>
      </c>
      <c r="I51" s="33">
        <v>2</v>
      </c>
      <c r="J51" s="19">
        <v>1</v>
      </c>
      <c r="K51" s="45"/>
      <c r="L51" s="45"/>
      <c r="M51" s="19">
        <f t="shared" si="2"/>
        <v>2</v>
      </c>
      <c r="N51" s="46"/>
      <c r="O51" s="46"/>
      <c r="P51" s="47">
        <v>600</v>
      </c>
      <c r="Q51" s="58">
        <f t="shared" si="3"/>
        <v>1200</v>
      </c>
      <c r="R51" s="65" t="s">
        <v>101</v>
      </c>
      <c r="S51" s="66"/>
      <c r="T51" s="60" t="s">
        <v>36</v>
      </c>
      <c r="U51" s="20"/>
      <c r="V51" s="64"/>
    </row>
    <row r="52" s="2" customFormat="1" ht="47" customHeight="1" spans="1:22">
      <c r="A52" s="14">
        <v>48</v>
      </c>
      <c r="B52" s="16" t="s">
        <v>30</v>
      </c>
      <c r="C52" s="32"/>
      <c r="D52" s="18">
        <v>4300000070</v>
      </c>
      <c r="E52" s="20" t="s">
        <v>102</v>
      </c>
      <c r="F52" s="20" t="s">
        <v>103</v>
      </c>
      <c r="G52" s="20" t="s">
        <v>104</v>
      </c>
      <c r="H52" s="20" t="s">
        <v>35</v>
      </c>
      <c r="I52" s="33">
        <v>2</v>
      </c>
      <c r="J52" s="20">
        <v>1</v>
      </c>
      <c r="K52" s="45"/>
      <c r="L52" s="45"/>
      <c r="M52" s="19">
        <f t="shared" si="2"/>
        <v>2</v>
      </c>
      <c r="N52" s="46"/>
      <c r="O52" s="46"/>
      <c r="P52" s="47">
        <v>12000</v>
      </c>
      <c r="Q52" s="58">
        <f t="shared" si="3"/>
        <v>24000</v>
      </c>
      <c r="R52" s="65" t="s">
        <v>105</v>
      </c>
      <c r="S52" s="66"/>
      <c r="T52" s="60"/>
      <c r="U52" s="20"/>
      <c r="V52" s="64"/>
    </row>
    <row r="53" s="4" customFormat="1" ht="40.5" customHeight="1" spans="1:22">
      <c r="A53" s="14">
        <v>49</v>
      </c>
      <c r="B53" s="16" t="s">
        <v>30</v>
      </c>
      <c r="C53" s="32"/>
      <c r="D53" s="18">
        <v>4300000069</v>
      </c>
      <c r="E53" s="18" t="s">
        <v>102</v>
      </c>
      <c r="F53" s="18" t="s">
        <v>106</v>
      </c>
      <c r="G53" s="18" t="s">
        <v>104</v>
      </c>
      <c r="H53" s="33" t="s">
        <v>35</v>
      </c>
      <c r="I53" s="33">
        <v>1</v>
      </c>
      <c r="J53" s="19">
        <v>1</v>
      </c>
      <c r="K53" s="45"/>
      <c r="L53" s="45"/>
      <c r="M53" s="19">
        <f t="shared" si="2"/>
        <v>1</v>
      </c>
      <c r="N53" s="20"/>
      <c r="O53" s="53"/>
      <c r="P53" s="47">
        <v>12000</v>
      </c>
      <c r="Q53" s="58">
        <f t="shared" si="3"/>
        <v>12000</v>
      </c>
      <c r="R53" s="65" t="s">
        <v>107</v>
      </c>
      <c r="S53" s="66"/>
      <c r="T53" s="60" t="s">
        <v>36</v>
      </c>
      <c r="U53" s="45"/>
      <c r="V53" s="71"/>
    </row>
    <row r="54" s="4" customFormat="1" spans="1:22">
      <c r="A54" s="14">
        <v>50</v>
      </c>
      <c r="B54" s="16" t="s">
        <v>30</v>
      </c>
      <c r="C54" s="32"/>
      <c r="D54" s="18">
        <v>3001000043</v>
      </c>
      <c r="E54" s="34" t="s">
        <v>108</v>
      </c>
      <c r="F54" s="34" t="s">
        <v>109</v>
      </c>
      <c r="G54" s="34" t="s">
        <v>110</v>
      </c>
      <c r="H54" s="33" t="s">
        <v>35</v>
      </c>
      <c r="I54" s="33">
        <v>3</v>
      </c>
      <c r="J54" s="19">
        <v>1</v>
      </c>
      <c r="K54" s="45"/>
      <c r="L54" s="45"/>
      <c r="M54" s="19">
        <f t="shared" si="2"/>
        <v>3</v>
      </c>
      <c r="N54" s="20"/>
      <c r="O54" s="53"/>
      <c r="P54" s="47">
        <v>230</v>
      </c>
      <c r="Q54" s="58">
        <f t="shared" si="3"/>
        <v>690</v>
      </c>
      <c r="R54" s="65"/>
      <c r="S54" s="66"/>
      <c r="T54" s="60" t="s">
        <v>36</v>
      </c>
      <c r="U54" s="45"/>
      <c r="V54" s="71"/>
    </row>
    <row r="55" s="4" customFormat="1" ht="35" spans="1:22">
      <c r="A55" s="14">
        <v>51</v>
      </c>
      <c r="B55" s="16" t="s">
        <v>30</v>
      </c>
      <c r="C55" s="32"/>
      <c r="D55" s="18">
        <v>3001000042</v>
      </c>
      <c r="E55" s="34" t="s">
        <v>111</v>
      </c>
      <c r="F55" s="34" t="s">
        <v>112</v>
      </c>
      <c r="G55" s="20" t="s">
        <v>110</v>
      </c>
      <c r="H55" s="20" t="s">
        <v>35</v>
      </c>
      <c r="I55" s="33">
        <v>6</v>
      </c>
      <c r="J55" s="19">
        <v>1</v>
      </c>
      <c r="K55" s="45"/>
      <c r="L55" s="45"/>
      <c r="M55" s="19">
        <f t="shared" si="2"/>
        <v>6</v>
      </c>
      <c r="N55" s="20"/>
      <c r="O55" s="20"/>
      <c r="P55" s="47">
        <v>100</v>
      </c>
      <c r="Q55" s="58">
        <f t="shared" si="3"/>
        <v>600</v>
      </c>
      <c r="R55" s="65" t="s">
        <v>113</v>
      </c>
      <c r="S55" s="66"/>
      <c r="T55" s="60" t="s">
        <v>36</v>
      </c>
      <c r="U55" s="45"/>
      <c r="V55" s="71"/>
    </row>
    <row r="56" s="4" customFormat="1" spans="1:22">
      <c r="A56" s="14">
        <v>52</v>
      </c>
      <c r="B56" s="16" t="s">
        <v>30</v>
      </c>
      <c r="C56" s="32"/>
      <c r="D56" s="18">
        <v>2004020004</v>
      </c>
      <c r="E56" s="34" t="s">
        <v>114</v>
      </c>
      <c r="F56" s="34" t="s">
        <v>115</v>
      </c>
      <c r="G56" s="20" t="s">
        <v>116</v>
      </c>
      <c r="H56" s="20" t="s">
        <v>35</v>
      </c>
      <c r="I56" s="33">
        <v>3</v>
      </c>
      <c r="J56" s="20">
        <v>1</v>
      </c>
      <c r="K56" s="45"/>
      <c r="L56" s="45"/>
      <c r="M56" s="19">
        <f t="shared" si="2"/>
        <v>3</v>
      </c>
      <c r="N56" s="20"/>
      <c r="O56" s="20"/>
      <c r="P56" s="47">
        <v>900</v>
      </c>
      <c r="Q56" s="58">
        <f t="shared" si="3"/>
        <v>2700</v>
      </c>
      <c r="R56" s="65"/>
      <c r="S56" s="66"/>
      <c r="T56" s="60" t="s">
        <v>36</v>
      </c>
      <c r="U56" s="45"/>
      <c r="V56" s="71"/>
    </row>
    <row r="57" s="4" customFormat="1" spans="1:22">
      <c r="A57" s="14">
        <v>53</v>
      </c>
      <c r="B57" s="16" t="s">
        <v>30</v>
      </c>
      <c r="C57" s="32"/>
      <c r="D57" s="35">
        <v>2004020007</v>
      </c>
      <c r="E57" s="18" t="s">
        <v>117</v>
      </c>
      <c r="F57" s="18" t="s">
        <v>118</v>
      </c>
      <c r="G57" s="19" t="s">
        <v>119</v>
      </c>
      <c r="H57" s="20" t="s">
        <v>35</v>
      </c>
      <c r="I57" s="33">
        <v>3</v>
      </c>
      <c r="J57" s="19">
        <v>1</v>
      </c>
      <c r="K57" s="45"/>
      <c r="L57" s="45"/>
      <c r="M57" s="19">
        <f t="shared" si="2"/>
        <v>3</v>
      </c>
      <c r="N57" s="20"/>
      <c r="O57" s="20"/>
      <c r="P57" s="47">
        <v>80</v>
      </c>
      <c r="Q57" s="58">
        <f t="shared" si="3"/>
        <v>240</v>
      </c>
      <c r="R57" s="65"/>
      <c r="S57" s="66"/>
      <c r="T57" s="60" t="s">
        <v>36</v>
      </c>
      <c r="U57" s="45"/>
      <c r="V57" s="71"/>
    </row>
    <row r="58" spans="1:21">
      <c r="A58" s="14">
        <v>54</v>
      </c>
      <c r="B58" s="16" t="s">
        <v>30</v>
      </c>
      <c r="C58" s="32"/>
      <c r="D58" s="36">
        <v>2004030001</v>
      </c>
      <c r="E58" s="18" t="s">
        <v>120</v>
      </c>
      <c r="F58" s="30" t="s">
        <v>121</v>
      </c>
      <c r="G58" s="30" t="s">
        <v>122</v>
      </c>
      <c r="H58" s="20" t="s">
        <v>35</v>
      </c>
      <c r="I58" s="33">
        <v>3</v>
      </c>
      <c r="J58" s="19">
        <v>1</v>
      </c>
      <c r="K58" s="45"/>
      <c r="L58" s="45"/>
      <c r="M58" s="19">
        <f t="shared" si="2"/>
        <v>3</v>
      </c>
      <c r="N58" s="20"/>
      <c r="O58" s="20"/>
      <c r="P58" s="47">
        <v>100</v>
      </c>
      <c r="Q58" s="58">
        <f t="shared" si="3"/>
        <v>300</v>
      </c>
      <c r="R58" s="65"/>
      <c r="S58" s="66"/>
      <c r="T58" s="60" t="s">
        <v>36</v>
      </c>
      <c r="U58" s="45"/>
    </row>
    <row r="59" ht="35" spans="1:21">
      <c r="A59" s="14">
        <v>55</v>
      </c>
      <c r="B59" s="16" t="s">
        <v>30</v>
      </c>
      <c r="C59" s="32"/>
      <c r="D59" s="18">
        <v>3001000041</v>
      </c>
      <c r="E59" s="18" t="s">
        <v>123</v>
      </c>
      <c r="F59" s="18" t="s">
        <v>124</v>
      </c>
      <c r="G59" s="18" t="s">
        <v>110</v>
      </c>
      <c r="H59" s="20" t="s">
        <v>35</v>
      </c>
      <c r="I59" s="33">
        <v>1</v>
      </c>
      <c r="J59" s="19">
        <v>1</v>
      </c>
      <c r="K59" s="45"/>
      <c r="L59" s="45"/>
      <c r="M59" s="19">
        <f t="shared" si="2"/>
        <v>1</v>
      </c>
      <c r="N59" s="20"/>
      <c r="O59" s="20"/>
      <c r="P59" s="47">
        <v>135</v>
      </c>
      <c r="Q59" s="58">
        <f t="shared" si="3"/>
        <v>135</v>
      </c>
      <c r="R59" s="65" t="s">
        <v>125</v>
      </c>
      <c r="S59" s="72"/>
      <c r="T59" s="60" t="s">
        <v>36</v>
      </c>
      <c r="U59" s="73"/>
    </row>
    <row r="60" spans="1:21">
      <c r="A60" s="14">
        <v>56</v>
      </c>
      <c r="B60" s="16" t="s">
        <v>30</v>
      </c>
      <c r="C60" s="32"/>
      <c r="D60" s="37">
        <v>2402000007</v>
      </c>
      <c r="E60" s="18" t="s">
        <v>126</v>
      </c>
      <c r="F60" s="30" t="s">
        <v>127</v>
      </c>
      <c r="G60" s="31" t="s">
        <v>128</v>
      </c>
      <c r="H60" s="31" t="s">
        <v>35</v>
      </c>
      <c r="I60" s="33">
        <v>2</v>
      </c>
      <c r="J60" s="20">
        <v>1</v>
      </c>
      <c r="K60" s="45"/>
      <c r="L60" s="45"/>
      <c r="M60" s="19">
        <f t="shared" si="2"/>
        <v>2</v>
      </c>
      <c r="N60" s="20"/>
      <c r="O60" s="20"/>
      <c r="P60" s="47">
        <v>50</v>
      </c>
      <c r="Q60" s="58">
        <f t="shared" si="3"/>
        <v>100</v>
      </c>
      <c r="R60" s="65"/>
      <c r="S60" s="74"/>
      <c r="T60" s="60" t="s">
        <v>36</v>
      </c>
      <c r="U60" s="73"/>
    </row>
    <row r="61" spans="1:15">
      <c r="A61" s="38" t="s">
        <v>129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N61" s="5"/>
      <c r="O61" s="5"/>
    </row>
    <row r="62" spans="3:17">
      <c r="C62" s="5"/>
      <c r="N62" s="5"/>
      <c r="O62" s="5"/>
      <c r="P62" s="7" t="s">
        <v>25</v>
      </c>
      <c r="Q62" s="7">
        <f>SUM(Q5:Q60)</f>
        <v>224035</v>
      </c>
    </row>
    <row r="63" spans="3:15">
      <c r="C63" s="5"/>
      <c r="N63" s="5"/>
      <c r="O63" s="5"/>
    </row>
    <row r="64" spans="3:15">
      <c r="C64" s="5"/>
      <c r="N64" s="5"/>
      <c r="O64" s="5"/>
    </row>
    <row r="65" spans="3:15">
      <c r="C65" s="5"/>
      <c r="N65" s="5"/>
      <c r="O65" s="5"/>
    </row>
    <row r="66" spans="3:15">
      <c r="C66" s="5"/>
      <c r="N66" s="5"/>
      <c r="O66" s="5"/>
    </row>
    <row r="67" spans="3:15">
      <c r="C67" s="5"/>
      <c r="N67" s="5"/>
      <c r="O67" s="5"/>
    </row>
    <row r="68" spans="3:15">
      <c r="C68" s="5"/>
      <c r="N68" s="5"/>
      <c r="O68" s="5"/>
    </row>
    <row r="69" spans="3:15">
      <c r="C69" s="5"/>
      <c r="N69" s="5"/>
      <c r="O69" s="5"/>
    </row>
    <row r="70" spans="3:15">
      <c r="C70" s="5"/>
      <c r="N70" s="5"/>
      <c r="O70" s="5"/>
    </row>
    <row r="71" spans="3:15">
      <c r="C71" s="5"/>
      <c r="N71" s="5"/>
      <c r="O71" s="5"/>
    </row>
    <row r="72" spans="3:15">
      <c r="C72" s="5"/>
      <c r="N72" s="5"/>
      <c r="O72" s="5"/>
    </row>
    <row r="73" spans="3:15">
      <c r="C73" s="5"/>
      <c r="N73" s="5"/>
      <c r="O73" s="5"/>
    </row>
    <row r="74" spans="3:15">
      <c r="C74" s="5"/>
      <c r="N74" s="5"/>
      <c r="O74" s="5"/>
    </row>
    <row r="75" spans="3:15">
      <c r="C75" s="5"/>
      <c r="N75" s="5"/>
      <c r="O75" s="5"/>
    </row>
    <row r="76" spans="3:15">
      <c r="C76" s="5"/>
      <c r="N76" s="5"/>
      <c r="O76" s="5"/>
    </row>
    <row r="77" spans="3:15">
      <c r="C77" s="5"/>
      <c r="N77" s="5"/>
      <c r="O77" s="5"/>
    </row>
    <row r="78" spans="3:15">
      <c r="C78" s="5"/>
      <c r="N78" s="5"/>
      <c r="O78" s="5"/>
    </row>
    <row r="79" spans="3:15">
      <c r="C79" s="5"/>
      <c r="N79" s="5"/>
      <c r="O79" s="5"/>
    </row>
    <row r="80" spans="3:15">
      <c r="C80" s="5"/>
      <c r="N80" s="5"/>
      <c r="O80" s="5"/>
    </row>
    <row r="81" spans="3:15">
      <c r="C81" s="5"/>
      <c r="N81" s="5"/>
      <c r="O81" s="5"/>
    </row>
    <row r="82" spans="3:15">
      <c r="C82" s="5"/>
      <c r="N82" s="5"/>
      <c r="O82" s="5"/>
    </row>
    <row r="83" spans="3:15">
      <c r="C83" s="5"/>
      <c r="N83" s="5"/>
      <c r="O83" s="5"/>
    </row>
    <row r="84" spans="3:15">
      <c r="C84" s="5"/>
      <c r="N84" s="5"/>
      <c r="O84" s="5"/>
    </row>
    <row r="85" spans="3:15">
      <c r="C85" s="5"/>
      <c r="N85" s="5"/>
      <c r="O85" s="5"/>
    </row>
    <row r="86" spans="3:15">
      <c r="C86" s="5"/>
      <c r="N86" s="5"/>
      <c r="O86" s="5"/>
    </row>
    <row r="87" spans="3:15">
      <c r="C87" s="5"/>
      <c r="N87" s="5"/>
      <c r="O87" s="5"/>
    </row>
    <row r="88" spans="3:15">
      <c r="C88" s="5"/>
      <c r="N88" s="5"/>
      <c r="O88" s="5"/>
    </row>
    <row r="89" spans="3:15">
      <c r="C89" s="5"/>
      <c r="N89" s="5"/>
      <c r="O89" s="5"/>
    </row>
    <row r="90" spans="3:15">
      <c r="C90" s="5"/>
      <c r="N90" s="5"/>
      <c r="O90" s="5"/>
    </row>
    <row r="91" spans="3:15">
      <c r="C91" s="5"/>
      <c r="N91" s="5"/>
      <c r="O91" s="5"/>
    </row>
    <row r="92" spans="3:15">
      <c r="C92" s="5"/>
      <c r="N92" s="5"/>
      <c r="O92" s="5"/>
    </row>
    <row r="93" spans="3:15">
      <c r="C93" s="5"/>
      <c r="N93" s="5"/>
      <c r="O93" s="5"/>
    </row>
    <row r="94" spans="3:15">
      <c r="C94" s="5"/>
      <c r="N94" s="5"/>
      <c r="O94" s="5"/>
    </row>
    <row r="95" spans="3:15">
      <c r="C95" s="5"/>
      <c r="N95" s="5"/>
      <c r="O95" s="5"/>
    </row>
    <row r="96" spans="3:15">
      <c r="C96" s="5"/>
      <c r="N96" s="5"/>
      <c r="O96" s="5"/>
    </row>
    <row r="97" spans="3:15">
      <c r="C97" s="5"/>
      <c r="N97" s="5"/>
      <c r="O97" s="5"/>
    </row>
    <row r="98" spans="3:15">
      <c r="C98" s="5"/>
      <c r="N98" s="5"/>
      <c r="O98" s="5"/>
    </row>
    <row r="99" spans="3:15">
      <c r="C99" s="5"/>
      <c r="N99" s="5"/>
      <c r="O99" s="5"/>
    </row>
    <row r="100" spans="3:15">
      <c r="C100" s="5"/>
      <c r="N100" s="5"/>
      <c r="O100" s="5"/>
    </row>
    <row r="101" spans="3:15">
      <c r="C101" s="5"/>
      <c r="N101" s="5"/>
      <c r="O101" s="5"/>
    </row>
    <row r="102" spans="3:15">
      <c r="C102" s="5"/>
      <c r="N102" s="5"/>
      <c r="O102" s="5"/>
    </row>
    <row r="103" spans="3:15">
      <c r="C103" s="5"/>
      <c r="N103" s="5"/>
      <c r="O103" s="5"/>
    </row>
    <row r="104" spans="3:15">
      <c r="C104" s="5"/>
      <c r="N104" s="5"/>
      <c r="O104" s="5"/>
    </row>
    <row r="105" spans="3:15">
      <c r="C105" s="5"/>
      <c r="N105" s="5"/>
      <c r="O105" s="5"/>
    </row>
    <row r="106" spans="3:15">
      <c r="C106" s="5"/>
      <c r="N106" s="5"/>
      <c r="O106" s="5"/>
    </row>
    <row r="107" spans="3:15">
      <c r="C107" s="5"/>
      <c r="N107" s="5"/>
      <c r="O107" s="5"/>
    </row>
    <row r="108" spans="3:15">
      <c r="C108" s="5"/>
      <c r="N108" s="5"/>
      <c r="O108" s="5"/>
    </row>
    <row r="109" spans="3:15">
      <c r="C109" s="5"/>
      <c r="N109" s="5"/>
      <c r="O109" s="5"/>
    </row>
    <row r="110" spans="3:15">
      <c r="C110" s="5"/>
      <c r="N110" s="5"/>
      <c r="O110" s="5"/>
    </row>
    <row r="111" spans="3:15">
      <c r="C111" s="5"/>
      <c r="N111" s="5"/>
      <c r="O111" s="5"/>
    </row>
    <row r="112" spans="3:15">
      <c r="C112" s="5"/>
      <c r="N112" s="5"/>
      <c r="O112" s="5"/>
    </row>
    <row r="113" spans="3:15">
      <c r="C113" s="5"/>
      <c r="N113" s="5"/>
      <c r="O113" s="5"/>
    </row>
    <row r="114" spans="3:15">
      <c r="C114" s="5"/>
      <c r="N114" s="5"/>
      <c r="O114" s="5"/>
    </row>
    <row r="115" spans="3:15">
      <c r="C115" s="5"/>
      <c r="N115" s="5"/>
      <c r="O115" s="5"/>
    </row>
    <row r="116" spans="3:15">
      <c r="C116" s="5"/>
      <c r="N116" s="5"/>
      <c r="O116" s="5"/>
    </row>
    <row r="117" spans="3:15">
      <c r="C117" s="5"/>
      <c r="N117" s="5"/>
      <c r="O117" s="5"/>
    </row>
    <row r="118" spans="3:15">
      <c r="C118" s="5"/>
      <c r="N118" s="5"/>
      <c r="O118" s="5"/>
    </row>
    <row r="119" spans="3:15">
      <c r="C119" s="5"/>
      <c r="N119" s="5"/>
      <c r="O119" s="5"/>
    </row>
    <row r="120" spans="3:15">
      <c r="C120" s="5"/>
      <c r="N120" s="5"/>
      <c r="O120" s="5"/>
    </row>
    <row r="121" spans="3:15">
      <c r="C121" s="5"/>
      <c r="N121" s="5"/>
      <c r="O121" s="5"/>
    </row>
    <row r="122" spans="3:15">
      <c r="C122" s="5"/>
      <c r="N122" s="5"/>
      <c r="O122" s="5"/>
    </row>
    <row r="123" spans="3:15">
      <c r="C123" s="5"/>
      <c r="N123" s="5"/>
      <c r="O123" s="5"/>
    </row>
    <row r="124" spans="3:15">
      <c r="C124" s="5"/>
      <c r="N124" s="5"/>
      <c r="O124" s="5"/>
    </row>
    <row r="125" spans="3:15">
      <c r="C125" s="5"/>
      <c r="N125" s="5"/>
      <c r="O125" s="5"/>
    </row>
    <row r="126" spans="3:15">
      <c r="C126" s="5"/>
      <c r="N126" s="5"/>
      <c r="O126" s="5"/>
    </row>
    <row r="127" spans="3:15">
      <c r="C127" s="5"/>
      <c r="N127" s="5"/>
      <c r="O127" s="5"/>
    </row>
    <row r="128" spans="3:15">
      <c r="C128" s="5"/>
      <c r="N128" s="5"/>
      <c r="O128" s="5"/>
    </row>
    <row r="129" spans="3:15">
      <c r="C129" s="5"/>
      <c r="N129" s="5"/>
      <c r="O129" s="5"/>
    </row>
    <row r="130" spans="3:15">
      <c r="C130" s="5"/>
      <c r="N130" s="5"/>
      <c r="O130" s="5"/>
    </row>
    <row r="131" spans="3:15">
      <c r="C131" s="5"/>
      <c r="N131" s="5"/>
      <c r="O131" s="5"/>
    </row>
    <row r="132" spans="3:15">
      <c r="C132" s="5"/>
      <c r="N132" s="5"/>
      <c r="O132" s="5"/>
    </row>
    <row r="133" spans="3:15">
      <c r="C133" s="5"/>
      <c r="N133" s="5"/>
      <c r="O133" s="5"/>
    </row>
    <row r="134" spans="3:15">
      <c r="C134" s="5"/>
      <c r="N134" s="5"/>
      <c r="O134" s="5"/>
    </row>
    <row r="135" spans="3:15">
      <c r="C135" s="5"/>
      <c r="N135" s="5"/>
      <c r="O135" s="5"/>
    </row>
    <row r="136" spans="3:15">
      <c r="C136" s="5"/>
      <c r="N136" s="5"/>
      <c r="O136" s="5"/>
    </row>
    <row r="137" spans="3:15">
      <c r="C137" s="5"/>
      <c r="N137" s="5"/>
      <c r="O137" s="5"/>
    </row>
    <row r="138" spans="3:15">
      <c r="C138" s="5"/>
      <c r="N138" s="5"/>
      <c r="O138" s="5"/>
    </row>
    <row r="139" spans="3:15">
      <c r="C139" s="5"/>
      <c r="N139" s="5"/>
      <c r="O139" s="5"/>
    </row>
    <row r="140" spans="3:15">
      <c r="C140" s="5"/>
      <c r="N140" s="5"/>
      <c r="O140" s="5"/>
    </row>
    <row r="141" spans="3:15">
      <c r="C141" s="5"/>
      <c r="N141" s="5"/>
      <c r="O141" s="5"/>
    </row>
    <row r="142" spans="3:15">
      <c r="C142" s="5"/>
      <c r="N142" s="5"/>
      <c r="O142" s="5"/>
    </row>
    <row r="143" spans="3:15">
      <c r="C143" s="5"/>
      <c r="N143" s="5"/>
      <c r="O143" s="5"/>
    </row>
    <row r="144" spans="3:15">
      <c r="C144" s="5"/>
      <c r="N144" s="5"/>
      <c r="O144" s="5"/>
    </row>
    <row r="145" spans="3:15">
      <c r="C145" s="5"/>
      <c r="N145" s="5"/>
      <c r="O145" s="5"/>
    </row>
    <row r="146" spans="3:15">
      <c r="C146" s="5"/>
      <c r="N146" s="5"/>
      <c r="O146" s="5"/>
    </row>
    <row r="147" spans="3:15">
      <c r="C147" s="5"/>
      <c r="N147" s="5"/>
      <c r="O147" s="5"/>
    </row>
    <row r="148" spans="3:15">
      <c r="C148" s="5"/>
      <c r="N148" s="5"/>
      <c r="O148" s="5"/>
    </row>
    <row r="149" spans="3:15">
      <c r="C149" s="5"/>
      <c r="N149" s="5"/>
      <c r="O149" s="5"/>
    </row>
    <row r="150" spans="3:15">
      <c r="C150" s="5"/>
      <c r="N150" s="5"/>
      <c r="O150" s="5"/>
    </row>
    <row r="151" spans="3:15">
      <c r="C151" s="5"/>
      <c r="N151" s="5"/>
      <c r="O151" s="5"/>
    </row>
    <row r="152" spans="3:15">
      <c r="C152" s="5"/>
      <c r="N152" s="5"/>
      <c r="O152" s="5"/>
    </row>
    <row r="153" spans="3:15">
      <c r="C153" s="5"/>
      <c r="N153" s="5"/>
      <c r="O153" s="5"/>
    </row>
    <row r="154" spans="3:15">
      <c r="C154" s="5"/>
      <c r="N154" s="5"/>
      <c r="O154" s="5"/>
    </row>
    <row r="155" spans="3:15">
      <c r="C155" s="5"/>
      <c r="N155" s="5"/>
      <c r="O155" s="5"/>
    </row>
    <row r="156" spans="3:15">
      <c r="C156" s="5"/>
      <c r="N156" s="5"/>
      <c r="O156" s="5"/>
    </row>
    <row r="157" spans="3:15">
      <c r="C157" s="5"/>
      <c r="N157" s="5"/>
      <c r="O157" s="5"/>
    </row>
    <row r="158" spans="3:15">
      <c r="C158" s="5"/>
      <c r="N158" s="5"/>
      <c r="O158" s="5"/>
    </row>
    <row r="159" spans="3:15">
      <c r="C159" s="5"/>
      <c r="N159" s="5"/>
      <c r="O159" s="5"/>
    </row>
    <row r="160" spans="3:15">
      <c r="C160" s="5"/>
      <c r="N160" s="5"/>
      <c r="O160" s="5"/>
    </row>
    <row r="161" spans="3:15">
      <c r="C161" s="5"/>
      <c r="N161" s="5"/>
      <c r="O161" s="5"/>
    </row>
    <row r="162" spans="3:15">
      <c r="C162" s="5"/>
      <c r="N162" s="5"/>
      <c r="O162" s="5"/>
    </row>
    <row r="163" spans="3:15">
      <c r="C163" s="5"/>
      <c r="N163" s="5"/>
      <c r="O163" s="5"/>
    </row>
    <row r="164" spans="3:15">
      <c r="C164" s="5"/>
      <c r="N164" s="5"/>
      <c r="O164" s="5"/>
    </row>
    <row r="165" spans="3:15">
      <c r="C165" s="5"/>
      <c r="N165" s="5"/>
      <c r="O165" s="5"/>
    </row>
    <row r="166" spans="3:15">
      <c r="C166" s="5"/>
      <c r="N166" s="5"/>
      <c r="O166" s="5"/>
    </row>
    <row r="167" spans="3:15">
      <c r="C167" s="5"/>
      <c r="N167" s="5"/>
      <c r="O167" s="5"/>
    </row>
    <row r="168" spans="3:15">
      <c r="C168" s="5"/>
      <c r="N168" s="5"/>
      <c r="O168" s="5"/>
    </row>
    <row r="169" spans="3:15">
      <c r="C169" s="5"/>
      <c r="N169" s="5"/>
      <c r="O169" s="5"/>
    </row>
    <row r="170" spans="3:15">
      <c r="C170" s="5"/>
      <c r="N170" s="5"/>
      <c r="O170" s="5"/>
    </row>
    <row r="171" spans="3:15">
      <c r="C171" s="5"/>
      <c r="N171" s="5"/>
      <c r="O171" s="5"/>
    </row>
    <row r="172" spans="3:15">
      <c r="C172" s="5"/>
      <c r="N172" s="5"/>
      <c r="O172" s="5"/>
    </row>
    <row r="173" spans="3:15">
      <c r="C173" s="5"/>
      <c r="N173" s="5"/>
      <c r="O173" s="5"/>
    </row>
    <row r="174" spans="3:15">
      <c r="C174" s="5"/>
      <c r="N174" s="5"/>
      <c r="O174" s="5"/>
    </row>
    <row r="175" spans="3:15">
      <c r="C175" s="5"/>
      <c r="N175" s="5"/>
      <c r="O175" s="5"/>
    </row>
    <row r="176" spans="3:15">
      <c r="C176" s="5"/>
      <c r="N176" s="5"/>
      <c r="O176" s="5"/>
    </row>
    <row r="177" spans="3:15">
      <c r="C177" s="5"/>
      <c r="N177" s="5"/>
      <c r="O177" s="5"/>
    </row>
    <row r="178" spans="3:15">
      <c r="C178" s="5"/>
      <c r="N178" s="5"/>
      <c r="O178" s="5"/>
    </row>
    <row r="179" spans="3:15">
      <c r="C179" s="5"/>
      <c r="N179" s="5"/>
      <c r="O179" s="5"/>
    </row>
    <row r="180" spans="3:15">
      <c r="C180" s="5"/>
      <c r="N180" s="5"/>
      <c r="O180" s="5"/>
    </row>
    <row r="181" spans="3:15">
      <c r="C181" s="5"/>
      <c r="N181" s="5"/>
      <c r="O181" s="5"/>
    </row>
    <row r="182" spans="3:15">
      <c r="C182" s="5"/>
      <c r="N182" s="5"/>
      <c r="O182" s="5"/>
    </row>
    <row r="183" spans="3:15">
      <c r="C183" s="5"/>
      <c r="N183" s="5"/>
      <c r="O183" s="5"/>
    </row>
    <row r="184" spans="3:15">
      <c r="C184" s="5"/>
      <c r="N184" s="5"/>
      <c r="O184" s="5"/>
    </row>
    <row r="185" spans="3:15">
      <c r="C185" s="5"/>
      <c r="N185" s="5"/>
      <c r="O185" s="5"/>
    </row>
    <row r="186" spans="3:15">
      <c r="C186" s="5"/>
      <c r="N186" s="5"/>
      <c r="O186" s="5"/>
    </row>
    <row r="187" spans="3:15">
      <c r="C187" s="5"/>
      <c r="N187" s="5"/>
      <c r="O187" s="5"/>
    </row>
    <row r="188" spans="3:15">
      <c r="C188" s="5"/>
      <c r="N188" s="5"/>
      <c r="O188" s="5"/>
    </row>
    <row r="189" spans="3:15">
      <c r="C189" s="5"/>
      <c r="N189" s="5"/>
      <c r="O189" s="5"/>
    </row>
    <row r="190" spans="3:15">
      <c r="C190" s="5"/>
      <c r="N190" s="5"/>
      <c r="O190" s="5"/>
    </row>
    <row r="191" spans="3:15">
      <c r="C191" s="5"/>
      <c r="N191" s="5"/>
      <c r="O191" s="5"/>
    </row>
    <row r="192" spans="3:15">
      <c r="C192" s="5"/>
      <c r="N192" s="5"/>
      <c r="O192" s="5"/>
    </row>
    <row r="193" spans="3:15">
      <c r="C193" s="5"/>
      <c r="N193" s="5"/>
      <c r="O193" s="5"/>
    </row>
    <row r="194" spans="3:15">
      <c r="C194" s="5"/>
      <c r="N194" s="5"/>
      <c r="O194" s="5"/>
    </row>
    <row r="195" spans="3:15">
      <c r="C195" s="5"/>
      <c r="N195" s="5"/>
      <c r="O195" s="5"/>
    </row>
    <row r="196" spans="3:15">
      <c r="C196" s="5"/>
      <c r="N196" s="5"/>
      <c r="O196" s="5"/>
    </row>
    <row r="197" spans="3:15">
      <c r="C197" s="5"/>
      <c r="N197" s="5"/>
      <c r="O197" s="5"/>
    </row>
    <row r="198" spans="3:15">
      <c r="C198" s="5"/>
      <c r="N198" s="5"/>
      <c r="O198" s="5"/>
    </row>
    <row r="199" spans="3:15">
      <c r="C199" s="5"/>
      <c r="N199" s="5"/>
      <c r="O199" s="5"/>
    </row>
    <row r="200" spans="3:15">
      <c r="C200" s="5"/>
      <c r="N200" s="5"/>
      <c r="O200" s="5"/>
    </row>
    <row r="201" spans="3:15">
      <c r="C201" s="5"/>
      <c r="N201" s="5"/>
      <c r="O201" s="5"/>
    </row>
    <row r="202" spans="3:15">
      <c r="C202" s="5"/>
      <c r="N202" s="5"/>
      <c r="O202" s="5"/>
    </row>
    <row r="203" spans="3:15">
      <c r="C203" s="5"/>
      <c r="N203" s="5"/>
      <c r="O203" s="5"/>
    </row>
    <row r="204" spans="3:15">
      <c r="C204" s="5"/>
      <c r="N204" s="5"/>
      <c r="O204" s="5"/>
    </row>
    <row r="205" spans="3:15">
      <c r="C205" s="5"/>
      <c r="N205" s="5"/>
      <c r="O205" s="5"/>
    </row>
    <row r="206" spans="3:15">
      <c r="C206" s="5"/>
      <c r="N206" s="5"/>
      <c r="O206" s="5"/>
    </row>
    <row r="207" spans="3:15">
      <c r="C207" s="5"/>
      <c r="N207" s="5"/>
      <c r="O207" s="5"/>
    </row>
    <row r="208" spans="3:15">
      <c r="C208" s="5"/>
      <c r="N208" s="5"/>
      <c r="O208" s="5"/>
    </row>
    <row r="209" spans="3:15">
      <c r="C209" s="5"/>
      <c r="N209" s="5"/>
      <c r="O209" s="5"/>
    </row>
    <row r="210" spans="3:15">
      <c r="C210" s="5"/>
      <c r="N210" s="5"/>
      <c r="O210" s="5"/>
    </row>
    <row r="211" spans="3:15">
      <c r="C211" s="5"/>
      <c r="N211" s="5"/>
      <c r="O211" s="5"/>
    </row>
    <row r="212" spans="3:15">
      <c r="C212" s="5"/>
      <c r="N212" s="5"/>
      <c r="O212" s="5"/>
    </row>
    <row r="213" spans="3:15">
      <c r="C213" s="5"/>
      <c r="N213" s="5"/>
      <c r="O213" s="5"/>
    </row>
    <row r="214" spans="3:15">
      <c r="C214" s="5"/>
      <c r="N214" s="5"/>
      <c r="O214" s="5"/>
    </row>
    <row r="215" spans="3:15">
      <c r="C215" s="5"/>
      <c r="N215" s="5"/>
      <c r="O215" s="5"/>
    </row>
    <row r="216" spans="3:15">
      <c r="C216" s="5"/>
      <c r="N216" s="5"/>
      <c r="O216" s="5"/>
    </row>
    <row r="217" spans="3:15">
      <c r="C217" s="5"/>
      <c r="N217" s="5"/>
      <c r="O217" s="5"/>
    </row>
    <row r="218" spans="3:15">
      <c r="C218" s="5"/>
      <c r="N218" s="5"/>
      <c r="O218" s="5"/>
    </row>
    <row r="219" spans="3:15">
      <c r="C219" s="5"/>
      <c r="N219" s="5"/>
      <c r="O219" s="5"/>
    </row>
    <row r="220" spans="3:15">
      <c r="C220" s="5"/>
      <c r="N220" s="5"/>
      <c r="O220" s="5"/>
    </row>
    <row r="221" spans="3:15">
      <c r="C221" s="5"/>
      <c r="N221" s="5"/>
      <c r="O221" s="5"/>
    </row>
    <row r="222" spans="3:15">
      <c r="C222" s="5"/>
      <c r="N222" s="5"/>
      <c r="O222" s="5"/>
    </row>
    <row r="223" spans="3:15">
      <c r="C223" s="5"/>
      <c r="N223" s="5"/>
      <c r="O223" s="5"/>
    </row>
    <row r="224" spans="3:15">
      <c r="C224" s="5"/>
      <c r="N224" s="5"/>
      <c r="O224" s="5"/>
    </row>
    <row r="225" spans="3:15">
      <c r="C225" s="5"/>
      <c r="N225" s="5"/>
      <c r="O225" s="5"/>
    </row>
    <row r="226" spans="3:15">
      <c r="C226" s="5"/>
      <c r="N226" s="5"/>
      <c r="O226" s="5"/>
    </row>
    <row r="227" spans="3:15">
      <c r="C227" s="5"/>
      <c r="N227" s="5"/>
      <c r="O227" s="5"/>
    </row>
    <row r="228" spans="3:15">
      <c r="C228" s="5"/>
      <c r="N228" s="5"/>
      <c r="O228" s="5"/>
    </row>
    <row r="229" spans="3:15">
      <c r="C229" s="5"/>
      <c r="N229" s="5"/>
      <c r="O229" s="5"/>
    </row>
    <row r="230" spans="3:15">
      <c r="C230" s="5"/>
      <c r="N230" s="5"/>
      <c r="O230" s="5"/>
    </row>
    <row r="231" spans="3:15">
      <c r="C231" s="5"/>
      <c r="N231" s="5"/>
      <c r="O231" s="5"/>
    </row>
    <row r="232" spans="3:15">
      <c r="C232" s="5"/>
      <c r="N232" s="5"/>
      <c r="O232" s="5"/>
    </row>
    <row r="233" spans="3:15">
      <c r="C233" s="5"/>
      <c r="N233" s="5"/>
      <c r="O233" s="5"/>
    </row>
    <row r="234" spans="3:15">
      <c r="C234" s="5"/>
      <c r="N234" s="5"/>
      <c r="O234" s="5"/>
    </row>
    <row r="235" spans="3:15">
      <c r="C235" s="5"/>
      <c r="N235" s="5"/>
      <c r="O235" s="5"/>
    </row>
    <row r="236" spans="3:15">
      <c r="C236" s="5"/>
      <c r="N236" s="5"/>
      <c r="O236" s="5"/>
    </row>
    <row r="237" spans="3:15">
      <c r="C237" s="5"/>
      <c r="N237" s="5"/>
      <c r="O237" s="5"/>
    </row>
    <row r="238" spans="3:15">
      <c r="C238" s="5"/>
      <c r="N238" s="5"/>
      <c r="O238" s="5"/>
    </row>
    <row r="239" spans="3:15">
      <c r="C239" s="5"/>
      <c r="N239" s="5"/>
      <c r="O239" s="5"/>
    </row>
    <row r="240" spans="3:15">
      <c r="C240" s="5"/>
      <c r="N240" s="5"/>
      <c r="O240" s="5"/>
    </row>
    <row r="241" spans="3:15">
      <c r="C241" s="5"/>
      <c r="N241" s="5"/>
      <c r="O241" s="5"/>
    </row>
    <row r="242" spans="3:15">
      <c r="C242" s="5"/>
      <c r="N242" s="5"/>
      <c r="O242" s="5"/>
    </row>
    <row r="243" spans="3:15">
      <c r="C243" s="5"/>
      <c r="N243" s="5"/>
      <c r="O243" s="5"/>
    </row>
    <row r="244" spans="3:15">
      <c r="C244" s="5"/>
      <c r="N244" s="5"/>
      <c r="O244" s="5"/>
    </row>
    <row r="245" spans="3:15">
      <c r="C245" s="5"/>
      <c r="N245" s="5"/>
      <c r="O245" s="5"/>
    </row>
    <row r="246" spans="3:15">
      <c r="C246" s="5"/>
      <c r="N246" s="5"/>
      <c r="O246" s="5"/>
    </row>
    <row r="247" spans="3:15">
      <c r="C247" s="5"/>
      <c r="N247" s="5"/>
      <c r="O247" s="5"/>
    </row>
    <row r="248" spans="3:15">
      <c r="C248" s="5"/>
      <c r="N248" s="5"/>
      <c r="O248" s="5"/>
    </row>
    <row r="249" spans="3:15">
      <c r="C249" s="5"/>
      <c r="N249" s="5"/>
      <c r="O249" s="5"/>
    </row>
    <row r="250" spans="3:15">
      <c r="C250" s="5"/>
      <c r="N250" s="5"/>
      <c r="O250" s="5"/>
    </row>
    <row r="251" spans="3:15">
      <c r="C251" s="5"/>
      <c r="N251" s="5"/>
      <c r="O251" s="5"/>
    </row>
    <row r="252" spans="3:15">
      <c r="C252" s="5"/>
      <c r="N252" s="5"/>
      <c r="O252" s="5"/>
    </row>
    <row r="253" spans="3:15">
      <c r="C253" s="5"/>
      <c r="N253" s="5"/>
      <c r="O253" s="5"/>
    </row>
    <row r="254" spans="3:15">
      <c r="C254" s="5"/>
      <c r="N254" s="5"/>
      <c r="O254" s="5"/>
    </row>
    <row r="255" spans="3:15">
      <c r="C255" s="5"/>
      <c r="N255" s="5"/>
      <c r="O255" s="5"/>
    </row>
    <row r="256" spans="3:15">
      <c r="C256" s="5"/>
      <c r="N256" s="5"/>
      <c r="O256" s="5"/>
    </row>
    <row r="257" spans="3:15">
      <c r="C257" s="5"/>
      <c r="N257" s="5"/>
      <c r="O257" s="5"/>
    </row>
    <row r="258" spans="3:15">
      <c r="C258" s="5"/>
      <c r="N258" s="5"/>
      <c r="O258" s="5"/>
    </row>
    <row r="259" spans="3:15">
      <c r="C259" s="5"/>
      <c r="N259" s="5"/>
      <c r="O259" s="5"/>
    </row>
    <row r="260" spans="3:15">
      <c r="C260" s="5"/>
      <c r="N260" s="5"/>
      <c r="O260" s="5"/>
    </row>
    <row r="261" spans="3:15">
      <c r="C261" s="5"/>
      <c r="N261" s="5"/>
      <c r="O261" s="5"/>
    </row>
    <row r="262" spans="3:15">
      <c r="C262" s="5"/>
      <c r="N262" s="5"/>
      <c r="O262" s="5"/>
    </row>
    <row r="263" spans="3:15">
      <c r="C263" s="5"/>
      <c r="N263" s="5"/>
      <c r="O263" s="5"/>
    </row>
    <row r="264" spans="3:15">
      <c r="C264" s="5"/>
      <c r="N264" s="5"/>
      <c r="O264" s="5"/>
    </row>
    <row r="265" spans="3:15">
      <c r="C265" s="5"/>
      <c r="N265" s="5"/>
      <c r="O265" s="5"/>
    </row>
    <row r="266" spans="3:15">
      <c r="C266" s="5"/>
      <c r="N266" s="5"/>
      <c r="O266" s="5"/>
    </row>
    <row r="267" spans="3:15">
      <c r="C267" s="5"/>
      <c r="N267" s="5"/>
      <c r="O267" s="5"/>
    </row>
    <row r="268" spans="3:15">
      <c r="C268" s="5"/>
      <c r="N268" s="5"/>
      <c r="O268" s="5"/>
    </row>
    <row r="269" spans="3:15">
      <c r="C269" s="5"/>
      <c r="N269" s="5"/>
      <c r="O269" s="5"/>
    </row>
    <row r="270" spans="3:15">
      <c r="C270" s="5"/>
      <c r="N270" s="5"/>
      <c r="O270" s="5"/>
    </row>
    <row r="271" spans="3:15">
      <c r="C271" s="5"/>
      <c r="N271" s="5"/>
      <c r="O271" s="5"/>
    </row>
    <row r="272" spans="3:15">
      <c r="C272" s="5"/>
      <c r="N272" s="5"/>
      <c r="O272" s="5"/>
    </row>
    <row r="273" spans="3:15">
      <c r="C273" s="5"/>
      <c r="N273" s="5"/>
      <c r="O273" s="5"/>
    </row>
    <row r="274" spans="3:15">
      <c r="C274" s="5"/>
      <c r="N274" s="5"/>
      <c r="O274" s="5"/>
    </row>
    <row r="275" spans="3:15">
      <c r="C275" s="5"/>
      <c r="N275" s="5"/>
      <c r="O275" s="5"/>
    </row>
    <row r="276" spans="3:15">
      <c r="C276" s="5"/>
      <c r="N276" s="5"/>
      <c r="O276" s="5"/>
    </row>
    <row r="277" spans="3:15">
      <c r="C277" s="5"/>
      <c r="N277" s="5"/>
      <c r="O277" s="5"/>
    </row>
    <row r="278" spans="3:15">
      <c r="C278" s="5"/>
      <c r="N278" s="5"/>
      <c r="O278" s="5"/>
    </row>
    <row r="279" spans="3:15">
      <c r="C279" s="5"/>
      <c r="N279" s="5"/>
      <c r="O279" s="5"/>
    </row>
    <row r="280" spans="3:15">
      <c r="C280" s="5"/>
      <c r="N280" s="5"/>
      <c r="O280" s="5"/>
    </row>
    <row r="281" spans="3:15">
      <c r="C281" s="5"/>
      <c r="N281" s="5"/>
      <c r="O281" s="5"/>
    </row>
    <row r="282" spans="3:15">
      <c r="C282" s="5"/>
      <c r="N282" s="5"/>
      <c r="O282" s="5"/>
    </row>
    <row r="283" spans="3:15">
      <c r="C283" s="5"/>
      <c r="N283" s="5"/>
      <c r="O283" s="5"/>
    </row>
    <row r="284" spans="3:15">
      <c r="C284" s="5"/>
      <c r="N284" s="5"/>
      <c r="O284" s="5"/>
    </row>
    <row r="285" spans="3:15">
      <c r="C285" s="5"/>
      <c r="N285" s="5"/>
      <c r="O285" s="5"/>
    </row>
    <row r="286" spans="3:15">
      <c r="C286" s="5"/>
      <c r="N286" s="5"/>
      <c r="O286" s="5"/>
    </row>
    <row r="287" spans="3:15">
      <c r="C287" s="5"/>
      <c r="N287" s="5"/>
      <c r="O287" s="5"/>
    </row>
    <row r="288" spans="3:15">
      <c r="C288" s="5"/>
      <c r="N288" s="5"/>
      <c r="O288" s="5"/>
    </row>
    <row r="289" spans="3:15">
      <c r="C289" s="5"/>
      <c r="N289" s="5"/>
      <c r="O289" s="5"/>
    </row>
    <row r="290" spans="3:15">
      <c r="C290" s="5"/>
      <c r="N290" s="5"/>
      <c r="O290" s="5"/>
    </row>
    <row r="291" spans="3:15">
      <c r="C291" s="5"/>
      <c r="N291" s="5"/>
      <c r="O291" s="5"/>
    </row>
    <row r="292" spans="3:15">
      <c r="C292" s="5"/>
      <c r="N292" s="5"/>
      <c r="O292" s="5"/>
    </row>
    <row r="293" spans="3:15">
      <c r="C293" s="5"/>
      <c r="N293" s="5"/>
      <c r="O293" s="5"/>
    </row>
    <row r="294" spans="3:15">
      <c r="C294" s="5"/>
      <c r="N294" s="5"/>
      <c r="O294" s="5"/>
    </row>
    <row r="295" spans="3:15">
      <c r="C295" s="5"/>
      <c r="N295" s="5"/>
      <c r="O295" s="5"/>
    </row>
    <row r="296" spans="3:15">
      <c r="C296" s="5"/>
      <c r="N296" s="5"/>
      <c r="O296" s="5"/>
    </row>
    <row r="297" spans="3:15">
      <c r="C297" s="5"/>
      <c r="N297" s="5"/>
      <c r="O297" s="5"/>
    </row>
    <row r="298" spans="3:15">
      <c r="C298" s="5"/>
      <c r="N298" s="5"/>
      <c r="O298" s="5"/>
    </row>
    <row r="299" spans="3:15">
      <c r="C299" s="5"/>
      <c r="N299" s="5"/>
      <c r="O299" s="5"/>
    </row>
    <row r="300" spans="3:15">
      <c r="C300" s="5"/>
      <c r="N300" s="5"/>
      <c r="O300" s="5"/>
    </row>
    <row r="301" spans="3:15">
      <c r="C301" s="5"/>
      <c r="N301" s="5"/>
      <c r="O301" s="5"/>
    </row>
    <row r="302" spans="3:15">
      <c r="C302" s="5"/>
      <c r="N302" s="5"/>
      <c r="O302" s="5"/>
    </row>
    <row r="303" spans="3:15">
      <c r="C303" s="5"/>
      <c r="N303" s="5"/>
      <c r="O303" s="5"/>
    </row>
    <row r="304" spans="3:15">
      <c r="C304" s="5"/>
      <c r="N304" s="5"/>
      <c r="O304" s="5"/>
    </row>
    <row r="305" spans="3:15">
      <c r="C305" s="5"/>
      <c r="N305" s="5"/>
      <c r="O305" s="5"/>
    </row>
    <row r="306" spans="3:15">
      <c r="C306" s="5"/>
      <c r="N306" s="5"/>
      <c r="O306" s="5"/>
    </row>
    <row r="307" spans="3:15">
      <c r="C307" s="5"/>
      <c r="N307" s="5"/>
      <c r="O307" s="5"/>
    </row>
    <row r="308" spans="3:15">
      <c r="C308" s="5"/>
      <c r="N308" s="5"/>
      <c r="O308" s="5"/>
    </row>
    <row r="309" spans="3:15">
      <c r="C309" s="5"/>
      <c r="N309" s="5"/>
      <c r="O309" s="5"/>
    </row>
    <row r="310" spans="3:15">
      <c r="C310" s="5"/>
      <c r="N310" s="5"/>
      <c r="O310" s="5"/>
    </row>
    <row r="311" spans="3:15">
      <c r="C311" s="5"/>
      <c r="N311" s="5"/>
      <c r="O311" s="5"/>
    </row>
    <row r="312" spans="3:15">
      <c r="C312" s="5"/>
      <c r="N312" s="5"/>
      <c r="O312" s="5"/>
    </row>
    <row r="313" spans="3:15">
      <c r="C313" s="5"/>
      <c r="N313" s="5"/>
      <c r="O313" s="5"/>
    </row>
    <row r="314" spans="3:15">
      <c r="C314" s="5"/>
      <c r="N314" s="5"/>
      <c r="O314" s="5"/>
    </row>
    <row r="315" spans="3:15">
      <c r="C315" s="5"/>
      <c r="N315" s="5"/>
      <c r="O315" s="5"/>
    </row>
    <row r="316" spans="3:15">
      <c r="C316" s="5"/>
      <c r="N316" s="5"/>
      <c r="O316" s="5"/>
    </row>
    <row r="317" spans="3:15">
      <c r="C317" s="5"/>
      <c r="N317" s="5"/>
      <c r="O317" s="5"/>
    </row>
    <row r="318" spans="3:15">
      <c r="C318" s="5"/>
      <c r="N318" s="5"/>
      <c r="O318" s="5"/>
    </row>
    <row r="319" spans="3:15">
      <c r="C319" s="5"/>
      <c r="N319" s="5"/>
      <c r="O319" s="5"/>
    </row>
    <row r="320" spans="3:15">
      <c r="C320" s="5"/>
      <c r="N320" s="5"/>
      <c r="O320" s="5"/>
    </row>
    <row r="321" spans="3:15">
      <c r="C321" s="5"/>
      <c r="N321" s="5"/>
      <c r="O321" s="5"/>
    </row>
    <row r="322" spans="3:15">
      <c r="C322" s="5"/>
      <c r="N322" s="5"/>
      <c r="O322" s="5"/>
    </row>
    <row r="323" spans="3:15">
      <c r="C323" s="5"/>
      <c r="N323" s="5"/>
      <c r="O323" s="5"/>
    </row>
    <row r="324" spans="3:15">
      <c r="C324" s="5"/>
      <c r="N324" s="5"/>
      <c r="O324" s="5"/>
    </row>
    <row r="325" spans="3:15">
      <c r="C325" s="5"/>
      <c r="N325" s="5"/>
      <c r="O325" s="5"/>
    </row>
    <row r="326" spans="3:15">
      <c r="C326" s="5"/>
      <c r="N326" s="5"/>
      <c r="O326" s="5"/>
    </row>
    <row r="327" spans="3:15">
      <c r="C327" s="5"/>
      <c r="N327" s="5"/>
      <c r="O327" s="5"/>
    </row>
    <row r="328" spans="3:15">
      <c r="C328" s="5"/>
      <c r="N328" s="5"/>
      <c r="O328" s="5"/>
    </row>
    <row r="329" spans="3:15">
      <c r="C329" s="5"/>
      <c r="N329" s="5"/>
      <c r="O329" s="5"/>
    </row>
    <row r="330" spans="3:15">
      <c r="C330" s="5"/>
      <c r="N330" s="5"/>
      <c r="O330" s="5"/>
    </row>
    <row r="331" spans="3:15">
      <c r="C331" s="5"/>
      <c r="N331" s="5"/>
      <c r="O331" s="5"/>
    </row>
    <row r="332" spans="3:15">
      <c r="C332" s="5"/>
      <c r="N332" s="5"/>
      <c r="O332" s="5"/>
    </row>
    <row r="333" spans="3:15">
      <c r="C333" s="5"/>
      <c r="N333" s="5"/>
      <c r="O333" s="5"/>
    </row>
    <row r="334" spans="3:15">
      <c r="C334" s="5"/>
      <c r="N334" s="5"/>
      <c r="O334" s="5"/>
    </row>
    <row r="335" spans="3:15">
      <c r="C335" s="5"/>
      <c r="N335" s="5"/>
      <c r="O335" s="5"/>
    </row>
    <row r="336" spans="3:15">
      <c r="C336" s="5"/>
      <c r="N336" s="5"/>
      <c r="O336" s="5"/>
    </row>
    <row r="337" spans="3:15">
      <c r="C337" s="5"/>
      <c r="N337" s="5"/>
      <c r="O337" s="5"/>
    </row>
    <row r="338" spans="3:15">
      <c r="C338" s="5"/>
      <c r="N338" s="5"/>
      <c r="O338" s="5"/>
    </row>
    <row r="339" spans="3:15">
      <c r="C339" s="5"/>
      <c r="N339" s="5"/>
      <c r="O339" s="5"/>
    </row>
    <row r="340" spans="3:15">
      <c r="C340" s="5"/>
      <c r="N340" s="5"/>
      <c r="O340" s="5"/>
    </row>
    <row r="341" spans="3:15">
      <c r="C341" s="5"/>
      <c r="N341" s="5"/>
      <c r="O341" s="5"/>
    </row>
    <row r="342" spans="3:15">
      <c r="C342" s="5"/>
      <c r="N342" s="5"/>
      <c r="O342" s="5"/>
    </row>
    <row r="343" spans="3:15">
      <c r="C343" s="5"/>
      <c r="N343" s="5"/>
      <c r="O343" s="5"/>
    </row>
    <row r="344" spans="3:15">
      <c r="C344" s="5"/>
      <c r="N344" s="5"/>
      <c r="O344" s="5"/>
    </row>
    <row r="345" spans="3:15">
      <c r="C345" s="5"/>
      <c r="N345" s="5"/>
      <c r="O345" s="5"/>
    </row>
    <row r="346" spans="3:15">
      <c r="C346" s="5"/>
      <c r="N346" s="5"/>
      <c r="O346" s="5"/>
    </row>
    <row r="347" spans="3:15">
      <c r="C347" s="5"/>
      <c r="N347" s="5"/>
      <c r="O347" s="5"/>
    </row>
    <row r="348" spans="3:15">
      <c r="C348" s="5"/>
      <c r="N348" s="5"/>
      <c r="O348" s="5"/>
    </row>
    <row r="349" spans="3:15">
      <c r="C349" s="5"/>
      <c r="N349" s="5"/>
      <c r="O349" s="5"/>
    </row>
    <row r="350" spans="3:15">
      <c r="C350" s="5"/>
      <c r="N350" s="5"/>
      <c r="O350" s="5"/>
    </row>
    <row r="351" spans="3:15">
      <c r="C351" s="5"/>
      <c r="N351" s="5"/>
      <c r="O351" s="5"/>
    </row>
    <row r="352" spans="3:15">
      <c r="C352" s="5"/>
      <c r="N352" s="5"/>
      <c r="O352" s="5"/>
    </row>
    <row r="353" spans="3:15">
      <c r="C353" s="5"/>
      <c r="N353" s="5"/>
      <c r="O353" s="5"/>
    </row>
    <row r="354" spans="3:15">
      <c r="C354" s="5"/>
      <c r="N354" s="5"/>
      <c r="O354" s="5"/>
    </row>
    <row r="355" spans="3:15">
      <c r="C355" s="5"/>
      <c r="N355" s="5"/>
      <c r="O355" s="5"/>
    </row>
    <row r="356" spans="3:15">
      <c r="C356" s="5"/>
      <c r="N356" s="5"/>
      <c r="O356" s="5"/>
    </row>
    <row r="357" spans="3:15">
      <c r="C357" s="5"/>
      <c r="N357" s="5"/>
      <c r="O357" s="5"/>
    </row>
    <row r="358" spans="3:15">
      <c r="C358" s="5"/>
      <c r="N358" s="5"/>
      <c r="O358" s="5"/>
    </row>
    <row r="359" spans="3:15">
      <c r="C359" s="5"/>
      <c r="N359" s="5"/>
      <c r="O359" s="5"/>
    </row>
    <row r="360" spans="3:15">
      <c r="C360" s="5"/>
      <c r="N360" s="5"/>
      <c r="O360" s="5"/>
    </row>
    <row r="361" spans="3:15">
      <c r="C361" s="5"/>
      <c r="N361" s="5"/>
      <c r="O361" s="5"/>
    </row>
    <row r="362" spans="3:15">
      <c r="C362" s="5"/>
      <c r="N362" s="5"/>
      <c r="O362" s="5"/>
    </row>
    <row r="363" spans="3:15">
      <c r="C363" s="5"/>
      <c r="N363" s="5"/>
      <c r="O363" s="5"/>
    </row>
    <row r="364" spans="3:15">
      <c r="C364" s="5"/>
      <c r="N364" s="5"/>
      <c r="O364" s="5"/>
    </row>
    <row r="365" spans="3:15">
      <c r="C365" s="5"/>
      <c r="N365" s="5"/>
      <c r="O365" s="5"/>
    </row>
    <row r="366" spans="3:15">
      <c r="C366" s="5"/>
      <c r="N366" s="5"/>
      <c r="O366" s="5"/>
    </row>
    <row r="367" spans="3:15">
      <c r="C367" s="5"/>
      <c r="N367" s="5"/>
      <c r="O367" s="5"/>
    </row>
    <row r="368" spans="3:15">
      <c r="C368" s="5"/>
      <c r="N368" s="5"/>
      <c r="O368" s="5"/>
    </row>
    <row r="369" spans="3:15">
      <c r="C369" s="5"/>
      <c r="N369" s="5"/>
      <c r="O369" s="5"/>
    </row>
    <row r="370" spans="3:15">
      <c r="C370" s="5"/>
      <c r="N370" s="5"/>
      <c r="O370" s="5"/>
    </row>
    <row r="371" spans="3:15">
      <c r="C371" s="5"/>
      <c r="N371" s="5"/>
      <c r="O371" s="5"/>
    </row>
    <row r="372" spans="3:15">
      <c r="C372" s="5"/>
      <c r="N372" s="5"/>
      <c r="O372" s="5"/>
    </row>
    <row r="373" spans="3:15">
      <c r="C373" s="5"/>
      <c r="N373" s="5"/>
      <c r="O373" s="5"/>
    </row>
    <row r="374" spans="3:15">
      <c r="C374" s="5"/>
      <c r="N374" s="5"/>
      <c r="O374" s="5"/>
    </row>
    <row r="375" spans="3:15">
      <c r="C375" s="5"/>
      <c r="N375" s="5"/>
      <c r="O375" s="5"/>
    </row>
    <row r="376" spans="3:15">
      <c r="C376" s="5"/>
      <c r="N376" s="5"/>
      <c r="O376" s="5"/>
    </row>
    <row r="377" spans="3:15">
      <c r="C377" s="5"/>
      <c r="N377" s="5"/>
      <c r="O377" s="5"/>
    </row>
    <row r="378" spans="3:15">
      <c r="C378" s="5"/>
      <c r="N378" s="5"/>
      <c r="O378" s="5"/>
    </row>
    <row r="379" spans="3:15">
      <c r="C379" s="5"/>
      <c r="N379" s="5"/>
      <c r="O379" s="5"/>
    </row>
    <row r="380" spans="3:15">
      <c r="C380" s="5"/>
      <c r="N380" s="5"/>
      <c r="O380" s="5"/>
    </row>
    <row r="381" spans="3:15">
      <c r="C381" s="5"/>
      <c r="N381" s="5"/>
      <c r="O381" s="5"/>
    </row>
    <row r="382" spans="3:15">
      <c r="C382" s="5"/>
      <c r="N382" s="5"/>
      <c r="O382" s="5"/>
    </row>
    <row r="383" spans="3:15">
      <c r="C383" s="5"/>
      <c r="N383" s="5"/>
      <c r="O383" s="5"/>
    </row>
    <row r="384" spans="3:15">
      <c r="C384" s="5"/>
      <c r="N384" s="5"/>
      <c r="O384" s="5"/>
    </row>
    <row r="385" spans="3:15">
      <c r="C385" s="5"/>
      <c r="N385" s="5"/>
      <c r="O385" s="5"/>
    </row>
    <row r="386" spans="3:15">
      <c r="C386" s="5"/>
      <c r="N386" s="5"/>
      <c r="O386" s="5"/>
    </row>
    <row r="387" spans="3:15">
      <c r="C387" s="5"/>
      <c r="N387" s="5"/>
      <c r="O387" s="5"/>
    </row>
    <row r="388" spans="3:15">
      <c r="C388" s="5"/>
      <c r="N388" s="5"/>
      <c r="O388" s="5"/>
    </row>
    <row r="389" spans="3:15">
      <c r="C389" s="5"/>
      <c r="N389" s="5"/>
      <c r="O389" s="5"/>
    </row>
    <row r="390" spans="3:15">
      <c r="C390" s="5"/>
      <c r="N390" s="5"/>
      <c r="O390" s="5"/>
    </row>
    <row r="391" spans="3:15">
      <c r="C391" s="5"/>
      <c r="N391" s="5"/>
      <c r="O391" s="5"/>
    </row>
    <row r="392" spans="3:15">
      <c r="C392" s="5"/>
      <c r="N392" s="5"/>
      <c r="O392" s="5"/>
    </row>
    <row r="393" spans="3:15">
      <c r="C393" s="5"/>
      <c r="N393" s="5"/>
      <c r="O393" s="5"/>
    </row>
    <row r="394" spans="3:15">
      <c r="C394" s="5"/>
      <c r="N394" s="5"/>
      <c r="O394" s="5"/>
    </row>
    <row r="395" spans="3:15">
      <c r="C395" s="5"/>
      <c r="N395" s="5"/>
      <c r="O395" s="5"/>
    </row>
    <row r="396" spans="3:15">
      <c r="C396" s="5"/>
      <c r="N396" s="5"/>
      <c r="O396" s="5"/>
    </row>
    <row r="397" spans="3:15">
      <c r="C397" s="5"/>
      <c r="N397" s="5"/>
      <c r="O397" s="5"/>
    </row>
    <row r="398" spans="3:15">
      <c r="C398" s="5"/>
      <c r="N398" s="5"/>
      <c r="O398" s="5"/>
    </row>
    <row r="399" spans="3:15">
      <c r="C399" s="5"/>
      <c r="N399" s="5"/>
      <c r="O399" s="5"/>
    </row>
    <row r="400" spans="3:15">
      <c r="C400" s="5"/>
      <c r="N400" s="5"/>
      <c r="O400" s="5"/>
    </row>
    <row r="401" spans="3:15">
      <c r="C401" s="5"/>
      <c r="N401" s="5"/>
      <c r="O401" s="5"/>
    </row>
    <row r="402" spans="3:15">
      <c r="C402" s="5"/>
      <c r="N402" s="5"/>
      <c r="O402" s="5"/>
    </row>
    <row r="403" spans="3:15">
      <c r="C403" s="5"/>
      <c r="N403" s="5"/>
      <c r="O403" s="5"/>
    </row>
    <row r="404" spans="3:15">
      <c r="C404" s="5"/>
      <c r="N404" s="5"/>
      <c r="O404" s="5"/>
    </row>
    <row r="405" spans="3:15">
      <c r="C405" s="5"/>
      <c r="N405" s="5"/>
      <c r="O405" s="5"/>
    </row>
    <row r="406" spans="3:15">
      <c r="C406" s="5"/>
      <c r="N406" s="5"/>
      <c r="O406" s="5"/>
    </row>
    <row r="407" spans="3:15">
      <c r="C407" s="5"/>
      <c r="N407" s="5"/>
      <c r="O407" s="5"/>
    </row>
    <row r="408" spans="3:15">
      <c r="C408" s="5"/>
      <c r="N408" s="5"/>
      <c r="O408" s="5"/>
    </row>
    <row r="409" spans="3:15">
      <c r="C409" s="5"/>
      <c r="N409" s="5"/>
      <c r="O409" s="5"/>
    </row>
    <row r="410" spans="3:15">
      <c r="C410" s="5"/>
      <c r="N410" s="5"/>
      <c r="O410" s="5"/>
    </row>
    <row r="411" spans="3:15">
      <c r="C411" s="5"/>
      <c r="N411" s="5"/>
      <c r="O411" s="5"/>
    </row>
    <row r="412" spans="3:15">
      <c r="C412" s="5"/>
      <c r="N412" s="5"/>
      <c r="O412" s="5"/>
    </row>
    <row r="413" spans="3:15">
      <c r="C413" s="5"/>
      <c r="N413" s="5"/>
      <c r="O413" s="5"/>
    </row>
    <row r="414" spans="3:15">
      <c r="C414" s="5"/>
      <c r="N414" s="5"/>
      <c r="O414" s="5"/>
    </row>
    <row r="415" spans="3:15">
      <c r="C415" s="5"/>
      <c r="N415" s="5"/>
      <c r="O415" s="5"/>
    </row>
    <row r="416" spans="3:15">
      <c r="C416" s="5"/>
      <c r="N416" s="5"/>
      <c r="O416" s="5"/>
    </row>
    <row r="417" spans="3:15">
      <c r="C417" s="5"/>
      <c r="N417" s="5"/>
      <c r="O417" s="5"/>
    </row>
    <row r="418" spans="3:15">
      <c r="C418" s="5"/>
      <c r="N418" s="5"/>
      <c r="O418" s="5"/>
    </row>
    <row r="419" spans="3:15">
      <c r="C419" s="5"/>
      <c r="N419" s="5"/>
      <c r="O419" s="5"/>
    </row>
    <row r="420" spans="3:15">
      <c r="C420" s="5"/>
      <c r="N420" s="5"/>
      <c r="O420" s="5"/>
    </row>
    <row r="421" spans="3:15">
      <c r="C421" s="5"/>
      <c r="N421" s="5"/>
      <c r="O421" s="5"/>
    </row>
    <row r="422" spans="3:15">
      <c r="C422" s="5"/>
      <c r="N422" s="5"/>
      <c r="O422" s="5"/>
    </row>
    <row r="423" spans="3:15">
      <c r="C423" s="5"/>
      <c r="N423" s="5"/>
      <c r="O423" s="5"/>
    </row>
    <row r="424" spans="3:15">
      <c r="C424" s="5"/>
      <c r="N424" s="5"/>
      <c r="O424" s="5"/>
    </row>
    <row r="425" spans="3:15">
      <c r="C425" s="5"/>
      <c r="N425" s="5"/>
      <c r="O425" s="5"/>
    </row>
    <row r="426" spans="3:15">
      <c r="C426" s="5"/>
      <c r="N426" s="5"/>
      <c r="O426" s="5"/>
    </row>
    <row r="427" spans="3:15">
      <c r="C427" s="5"/>
      <c r="N427" s="5"/>
      <c r="O427" s="5"/>
    </row>
    <row r="428" spans="3:15">
      <c r="C428" s="5"/>
      <c r="N428" s="5"/>
      <c r="O428" s="5"/>
    </row>
    <row r="429" spans="3:15">
      <c r="C429" s="5"/>
      <c r="N429" s="5"/>
      <c r="O429" s="5"/>
    </row>
    <row r="430" spans="3:15">
      <c r="C430" s="5"/>
      <c r="N430" s="5"/>
      <c r="O430" s="5"/>
    </row>
    <row r="431" spans="3:15">
      <c r="C431" s="5"/>
      <c r="N431" s="5"/>
      <c r="O431" s="5"/>
    </row>
    <row r="432" spans="3:15">
      <c r="C432" s="5"/>
      <c r="N432" s="5"/>
      <c r="O432" s="5"/>
    </row>
    <row r="433" spans="3:15">
      <c r="C433" s="5"/>
      <c r="N433" s="5"/>
      <c r="O433" s="5"/>
    </row>
    <row r="434" spans="3:15">
      <c r="C434" s="5"/>
      <c r="N434" s="5"/>
      <c r="O434" s="5"/>
    </row>
    <row r="435" spans="3:15">
      <c r="C435" s="5"/>
      <c r="N435" s="5"/>
      <c r="O435" s="5"/>
    </row>
    <row r="436" spans="3:15">
      <c r="C436" s="5"/>
      <c r="N436" s="5"/>
      <c r="O436" s="5"/>
    </row>
    <row r="437" spans="3:15">
      <c r="C437" s="5"/>
      <c r="N437" s="5"/>
      <c r="O437" s="5"/>
    </row>
    <row r="438" spans="3:15">
      <c r="C438" s="5"/>
      <c r="N438" s="5"/>
      <c r="O438" s="5"/>
    </row>
    <row r="439" spans="3:15">
      <c r="C439" s="5"/>
      <c r="N439" s="5"/>
      <c r="O439" s="5"/>
    </row>
    <row r="440" spans="3:15">
      <c r="C440" s="5"/>
      <c r="N440" s="5"/>
      <c r="O440" s="5"/>
    </row>
    <row r="441" spans="3:15">
      <c r="C441" s="5"/>
      <c r="N441" s="5"/>
      <c r="O441" s="5"/>
    </row>
    <row r="442" spans="3:15">
      <c r="C442" s="5"/>
      <c r="N442" s="5"/>
      <c r="O442" s="5"/>
    </row>
    <row r="443" spans="3:15">
      <c r="C443" s="5"/>
      <c r="N443" s="5"/>
      <c r="O443" s="5"/>
    </row>
    <row r="444" spans="3:15">
      <c r="C444" s="5"/>
      <c r="N444" s="5"/>
      <c r="O444" s="5"/>
    </row>
    <row r="445" spans="3:15">
      <c r="C445" s="5"/>
      <c r="N445" s="5"/>
      <c r="O445" s="5"/>
    </row>
    <row r="446" spans="3:15">
      <c r="C446" s="5"/>
      <c r="N446" s="5"/>
      <c r="O446" s="5"/>
    </row>
    <row r="447" spans="3:15">
      <c r="C447" s="5"/>
      <c r="N447" s="5"/>
      <c r="O447" s="5"/>
    </row>
    <row r="448" spans="3:15">
      <c r="C448" s="5"/>
      <c r="N448" s="5"/>
      <c r="O448" s="5"/>
    </row>
    <row r="449" spans="3:15">
      <c r="C449" s="5"/>
      <c r="N449" s="5"/>
      <c r="O449" s="5"/>
    </row>
    <row r="450" spans="3:15">
      <c r="C450" s="5"/>
      <c r="N450" s="5"/>
      <c r="O450" s="5"/>
    </row>
    <row r="451" spans="3:15">
      <c r="C451" s="5"/>
      <c r="N451" s="5"/>
      <c r="O451" s="5"/>
    </row>
    <row r="452" spans="3:15">
      <c r="C452" s="5"/>
      <c r="N452" s="5"/>
      <c r="O452" s="5"/>
    </row>
    <row r="453" spans="3:15">
      <c r="C453" s="5"/>
      <c r="N453" s="5"/>
      <c r="O453" s="5"/>
    </row>
    <row r="454" spans="3:15">
      <c r="C454" s="5"/>
      <c r="N454" s="5"/>
      <c r="O454" s="5"/>
    </row>
    <row r="455" spans="3:15">
      <c r="C455" s="5"/>
      <c r="N455" s="5"/>
      <c r="O455" s="5"/>
    </row>
    <row r="456" spans="3:15">
      <c r="C456" s="5"/>
      <c r="N456" s="5"/>
      <c r="O456" s="5"/>
    </row>
    <row r="457" spans="3:15">
      <c r="C457" s="5"/>
      <c r="N457" s="5"/>
      <c r="O457" s="5"/>
    </row>
    <row r="458" spans="3:15">
      <c r="C458" s="5"/>
      <c r="N458" s="5"/>
      <c r="O458" s="5"/>
    </row>
    <row r="459" spans="3:15">
      <c r="C459" s="5"/>
      <c r="N459" s="5"/>
      <c r="O459" s="5"/>
    </row>
    <row r="460" spans="3:15">
      <c r="C460" s="5"/>
      <c r="N460" s="5"/>
      <c r="O460" s="5"/>
    </row>
    <row r="461" spans="3:15">
      <c r="C461" s="5"/>
      <c r="N461" s="5"/>
      <c r="O461" s="5"/>
    </row>
    <row r="462" spans="3:15">
      <c r="C462" s="5"/>
      <c r="N462" s="5"/>
      <c r="O462" s="5"/>
    </row>
    <row r="463" spans="3:15">
      <c r="C463" s="5"/>
      <c r="N463" s="5"/>
      <c r="O463" s="5"/>
    </row>
  </sheetData>
  <mergeCells count="16">
    <mergeCell ref="A1:G1"/>
    <mergeCell ref="H1:U1"/>
    <mergeCell ref="A2:T2"/>
    <mergeCell ref="A3:B3"/>
    <mergeCell ref="C3:D3"/>
    <mergeCell ref="H3:I3"/>
    <mergeCell ref="K3:L3"/>
    <mergeCell ref="N3:O3"/>
    <mergeCell ref="A61:K61"/>
    <mergeCell ref="C5:C11"/>
    <mergeCell ref="C12:C19"/>
    <mergeCell ref="C20:C30"/>
    <mergeCell ref="C31:C37"/>
    <mergeCell ref="C38:C43"/>
    <mergeCell ref="C44:C50"/>
    <mergeCell ref="C51:C60"/>
  </mergeCells>
  <conditionalFormatting sqref="F21">
    <cfRule type="duplicateValues" dxfId="0" priority="10"/>
  </conditionalFormatting>
  <conditionalFormatting sqref="F27">
    <cfRule type="duplicateValues" dxfId="0" priority="9"/>
  </conditionalFormatting>
  <conditionalFormatting sqref="F33">
    <cfRule type="duplicateValues" dxfId="0" priority="5"/>
  </conditionalFormatting>
  <conditionalFormatting sqref="F40">
    <cfRule type="duplicateValues" dxfId="0" priority="1"/>
  </conditionalFormatting>
  <conditionalFormatting sqref="F41">
    <cfRule type="duplicateValues" dxfId="0" priority="7"/>
  </conditionalFormatting>
  <conditionalFormatting sqref="F42">
    <cfRule type="duplicateValues" dxfId="0" priority="4"/>
  </conditionalFormatting>
  <conditionalFormatting sqref="F57">
    <cfRule type="duplicateValues" dxfId="0" priority="2"/>
  </conditionalFormatting>
  <conditionalFormatting sqref="F34:F35">
    <cfRule type="duplicateValues" dxfId="0" priority="6"/>
  </conditionalFormatting>
  <conditionalFormatting sqref="F47:F48">
    <cfRule type="duplicateValues" dxfId="0" priority="11"/>
  </conditionalFormatting>
  <conditionalFormatting sqref="F55:F56">
    <cfRule type="duplicateValues" dxfId="0" priority="3"/>
  </conditionalFormatting>
  <dataValidations count="2">
    <dataValidation type="list" allowBlank="1" showInputMessage="1" showErrorMessage="1" sqref="B5:B60">
      <formula1>"项目未开工,项目已开工,售后项目"</formula1>
    </dataValidation>
    <dataValidation type="list" allowBlank="1" showInputMessage="1" showErrorMessage="1" sqref="T5:T60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沫忆</cp:lastModifiedBy>
  <dcterms:created xsi:type="dcterms:W3CDTF">2022-07-07T03:43:00Z</dcterms:created>
  <dcterms:modified xsi:type="dcterms:W3CDTF">2024-12-09T07:46:33Z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2052-12.1.0.19302</vt:lpwstr>
  </property>
</Properties>
</file>