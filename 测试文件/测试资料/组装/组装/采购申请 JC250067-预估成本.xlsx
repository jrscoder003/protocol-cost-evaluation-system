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/>
  <mc:AlternateContent xmlns:mc="http://schemas.openxmlformats.org/markup-compatibility/2006">
    <mc:Choice Requires="x15">
      <x15ac:absPath xmlns:x15ac="http://schemas.microsoft.com/office/spreadsheetml/2010/11/ac" url="D:\1 JRS\1 杰锐思项目\1-2025年项目\JC250067 国光四合一\1 BOM\"/>
    </mc:Choice>
  </mc:AlternateContent>
  <xr:revisionPtr revIDLastSave="0" documentId="13_ncr:1_{FE35E8DC-1036-48C4-A7E0-2590858D68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sheet1!$A$3:$GC$4</definedName>
  </definedNames>
  <calcPr calcId="181029"/>
</workbook>
</file>

<file path=xl/calcChain.xml><?xml version="1.0" encoding="utf-8"?>
<calcChain xmlns="http://schemas.openxmlformats.org/spreadsheetml/2006/main">
  <c r="Q107" i="1" l="1"/>
  <c r="Q29" i="1" l="1"/>
  <c r="Q50" i="1"/>
  <c r="Q58" i="1"/>
  <c r="Q65" i="1"/>
  <c r="Q66" i="1"/>
  <c r="Q82" i="1"/>
  <c r="Q85" i="1"/>
  <c r="Q87" i="1"/>
  <c r="Q88" i="1"/>
  <c r="Q90" i="1"/>
  <c r="Q93" i="1"/>
  <c r="Q94" i="1"/>
  <c r="Q96" i="1"/>
  <c r="Q97" i="1"/>
  <c r="Q104" i="1"/>
  <c r="Q105" i="1"/>
  <c r="M30" i="1"/>
  <c r="Q30" i="1" s="1"/>
  <c r="M29" i="1"/>
  <c r="M28" i="1"/>
  <c r="Q28" i="1" s="1"/>
  <c r="M66" i="1"/>
  <c r="M65" i="1"/>
  <c r="M64" i="1"/>
  <c r="Q64" i="1" s="1"/>
  <c r="M102" i="1"/>
  <c r="Q102" i="1" s="1"/>
  <c r="M100" i="1"/>
  <c r="Q100" i="1" s="1"/>
  <c r="M101" i="1"/>
  <c r="Q101" i="1" s="1"/>
  <c r="M94" i="1"/>
  <c r="M58" i="1"/>
  <c r="M105" i="1"/>
  <c r="M104" i="1"/>
  <c r="M103" i="1"/>
  <c r="Q103" i="1" s="1"/>
  <c r="M99" i="1"/>
  <c r="Q99" i="1" s="1"/>
  <c r="M98" i="1"/>
  <c r="Q98" i="1" s="1"/>
  <c r="M97" i="1"/>
  <c r="M96" i="1"/>
  <c r="M95" i="1"/>
  <c r="Q95" i="1" s="1"/>
  <c r="M93" i="1"/>
  <c r="M92" i="1"/>
  <c r="Q92" i="1" s="1"/>
  <c r="M91" i="1"/>
  <c r="Q91" i="1" s="1"/>
  <c r="M90" i="1"/>
  <c r="M89" i="1"/>
  <c r="Q89" i="1" s="1"/>
  <c r="M88" i="1"/>
  <c r="M87" i="1"/>
  <c r="M86" i="1"/>
  <c r="Q86" i="1" s="1"/>
  <c r="M85" i="1"/>
  <c r="M84" i="1"/>
  <c r="Q84" i="1" s="1"/>
  <c r="M83" i="1"/>
  <c r="Q83" i="1" s="1"/>
  <c r="M82" i="1"/>
  <c r="M81" i="1"/>
  <c r="Q81" i="1" s="1"/>
  <c r="M50" i="1"/>
  <c r="M5" i="1" l="1"/>
  <c r="Q5" i="1" s="1"/>
  <c r="M6" i="1"/>
  <c r="Q6" i="1" s="1"/>
  <c r="M7" i="1"/>
  <c r="Q7" i="1" s="1"/>
  <c r="M8" i="1"/>
  <c r="Q8" i="1" s="1"/>
  <c r="M9" i="1"/>
  <c r="Q9" i="1" s="1"/>
  <c r="M10" i="1"/>
  <c r="Q10" i="1" s="1"/>
  <c r="M11" i="1"/>
  <c r="Q11" i="1" s="1"/>
  <c r="M12" i="1"/>
  <c r="Q12" i="1" s="1"/>
  <c r="M13" i="1"/>
  <c r="Q13" i="1" s="1"/>
  <c r="M14" i="1"/>
  <c r="Q14" i="1" s="1"/>
  <c r="M15" i="1"/>
  <c r="Q15" i="1" s="1"/>
  <c r="M16" i="1"/>
  <c r="Q16" i="1" s="1"/>
  <c r="M17" i="1"/>
  <c r="Q17" i="1" s="1"/>
  <c r="M18" i="1"/>
  <c r="Q18" i="1" s="1"/>
  <c r="M19" i="1"/>
  <c r="Q19" i="1" s="1"/>
  <c r="M20" i="1"/>
  <c r="Q20" i="1" s="1"/>
  <c r="M21" i="1"/>
  <c r="Q21" i="1" s="1"/>
  <c r="M22" i="1"/>
  <c r="Q22" i="1" s="1"/>
  <c r="M23" i="1"/>
  <c r="Q23" i="1" s="1"/>
  <c r="M24" i="1"/>
  <c r="Q24" i="1" s="1"/>
  <c r="M25" i="1"/>
  <c r="Q25" i="1" s="1"/>
  <c r="M26" i="1"/>
  <c r="Q26" i="1" s="1"/>
  <c r="M27" i="1"/>
  <c r="Q27" i="1" s="1"/>
  <c r="M31" i="1"/>
  <c r="Q31" i="1" s="1"/>
  <c r="M32" i="1"/>
  <c r="Q32" i="1" s="1"/>
  <c r="M33" i="1"/>
  <c r="Q33" i="1" s="1"/>
  <c r="M34" i="1"/>
  <c r="Q34" i="1" s="1"/>
  <c r="M35" i="1"/>
  <c r="Q35" i="1" s="1"/>
  <c r="M36" i="1"/>
  <c r="Q36" i="1" s="1"/>
  <c r="M37" i="1"/>
  <c r="Q37" i="1" s="1"/>
  <c r="M38" i="1"/>
  <c r="Q38" i="1" s="1"/>
  <c r="M39" i="1"/>
  <c r="Q39" i="1" s="1"/>
  <c r="M40" i="1"/>
  <c r="Q40" i="1" s="1"/>
  <c r="M41" i="1"/>
  <c r="Q41" i="1" s="1"/>
  <c r="M42" i="1"/>
  <c r="Q42" i="1" s="1"/>
  <c r="M43" i="1"/>
  <c r="Q43" i="1" s="1"/>
  <c r="M44" i="1"/>
  <c r="Q44" i="1" s="1"/>
  <c r="M45" i="1"/>
  <c r="Q45" i="1" s="1"/>
  <c r="M46" i="1"/>
  <c r="Q46" i="1" s="1"/>
  <c r="M47" i="1"/>
  <c r="Q47" i="1" s="1"/>
  <c r="M48" i="1"/>
  <c r="Q48" i="1" s="1"/>
  <c r="M49" i="1"/>
  <c r="Q49" i="1" s="1"/>
  <c r="M51" i="1"/>
  <c r="Q51" i="1" s="1"/>
  <c r="M52" i="1"/>
  <c r="Q52" i="1" s="1"/>
  <c r="M53" i="1"/>
  <c r="Q53" i="1" s="1"/>
  <c r="M54" i="1"/>
  <c r="Q54" i="1" s="1"/>
  <c r="M55" i="1"/>
  <c r="Q55" i="1" s="1"/>
  <c r="M56" i="1"/>
  <c r="Q56" i="1" s="1"/>
  <c r="M57" i="1"/>
  <c r="Q57" i="1" s="1"/>
  <c r="M59" i="1"/>
  <c r="Q59" i="1" s="1"/>
  <c r="M60" i="1"/>
  <c r="Q60" i="1" s="1"/>
  <c r="M61" i="1"/>
  <c r="Q61" i="1" s="1"/>
  <c r="M62" i="1"/>
  <c r="Q62" i="1" s="1"/>
  <c r="M63" i="1"/>
  <c r="Q63" i="1" s="1"/>
  <c r="M67" i="1"/>
  <c r="Q67" i="1" s="1"/>
  <c r="M68" i="1"/>
  <c r="Q68" i="1" s="1"/>
  <c r="M69" i="1"/>
  <c r="Q69" i="1" s="1"/>
  <c r="M70" i="1"/>
  <c r="Q70" i="1" s="1"/>
  <c r="M71" i="1"/>
  <c r="Q71" i="1" s="1"/>
  <c r="M72" i="1"/>
  <c r="Q72" i="1" s="1"/>
  <c r="M73" i="1"/>
  <c r="Q73" i="1" s="1"/>
  <c r="M74" i="1"/>
  <c r="Q74" i="1" s="1"/>
  <c r="M75" i="1"/>
  <c r="Q75" i="1" s="1"/>
  <c r="M76" i="1"/>
  <c r="Q76" i="1" s="1"/>
  <c r="M77" i="1"/>
  <c r="Q77" i="1" s="1"/>
  <c r="M78" i="1"/>
  <c r="Q78" i="1" s="1"/>
  <c r="M79" i="1"/>
  <c r="Q79" i="1" s="1"/>
  <c r="M80" i="1"/>
  <c r="Q80" i="1" s="1"/>
</calcChain>
</file>

<file path=xl/sharedStrings.xml><?xml version="1.0" encoding="utf-8"?>
<sst xmlns="http://schemas.openxmlformats.org/spreadsheetml/2006/main" count="538" uniqueCount="108">
  <si>
    <t>请购部门</t>
  </si>
  <si>
    <t>专案编号</t>
  </si>
  <si>
    <t>电话</t>
  </si>
  <si>
    <t>序号</t>
  </si>
  <si>
    <t>类别</t>
  </si>
  <si>
    <t>物料编号</t>
  </si>
  <si>
    <t>物料名称</t>
  </si>
  <si>
    <t>型号规格/图号</t>
  </si>
  <si>
    <t>品牌/材质</t>
  </si>
  <si>
    <t>单位</t>
  </si>
  <si>
    <t>标准用量</t>
  </si>
  <si>
    <t>需求台数</t>
  </si>
  <si>
    <t>备品数量</t>
  </si>
  <si>
    <t>库存数量</t>
  </si>
  <si>
    <t>总需求数</t>
  </si>
  <si>
    <t>单价</t>
  </si>
  <si>
    <t>总价</t>
  </si>
  <si>
    <t>工位</t>
    <phoneticPr fontId="7" type="noConversion"/>
  </si>
  <si>
    <t>刘博</t>
    <phoneticPr fontId="7" type="noConversion"/>
  </si>
  <si>
    <t>BU3</t>
    <phoneticPr fontId="7" type="noConversion"/>
  </si>
  <si>
    <t>PM</t>
    <phoneticPr fontId="7" type="noConversion"/>
  </si>
  <si>
    <t>工程师</t>
    <phoneticPr fontId="7" type="noConversion"/>
  </si>
  <si>
    <t>谭秀鹏</t>
    <phoneticPr fontId="7" type="noConversion"/>
  </si>
  <si>
    <t>相机网线</t>
  </si>
  <si>
    <t>MV-CS200-10GM</t>
    <phoneticPr fontId="7" type="noConversion"/>
  </si>
  <si>
    <t>绿联</t>
  </si>
  <si>
    <t>双飞燕</t>
  </si>
  <si>
    <t>PCS</t>
    <phoneticPr fontId="7" type="noConversion"/>
  </si>
  <si>
    <t>项目已开工</t>
  </si>
  <si>
    <t>公共硬件</t>
    <phoneticPr fontId="7" type="noConversion"/>
  </si>
  <si>
    <t>CST-PHFS26025-W</t>
    <phoneticPr fontId="7" type="noConversion"/>
  </si>
  <si>
    <t>相机电源线</t>
  </si>
  <si>
    <t>FY-HR6-5M-GYPT</t>
  </si>
  <si>
    <t>沣洋</t>
  </si>
  <si>
    <t>冠捷</t>
  </si>
  <si>
    <t>绿联1233224-10M(工程级柔软耐弯折)</t>
  </si>
  <si>
    <t>绿联10321(带信号放大器工程级10米)</t>
  </si>
  <si>
    <t>USB无线网卡</t>
  </si>
  <si>
    <t>TL-XDN7000免驱版</t>
  </si>
  <si>
    <t>TP-LINK</t>
  </si>
  <si>
    <t>标准光源延长线</t>
  </si>
  <si>
    <t>SM24-L5</t>
    <phoneticPr fontId="7" type="noConversion"/>
  </si>
  <si>
    <t>FA3516A</t>
    <phoneticPr fontId="7" type="noConversion"/>
  </si>
  <si>
    <t>FY-GE-BD-5M-GYPT</t>
    <phoneticPr fontId="7" type="noConversion"/>
  </si>
  <si>
    <t>FY-GE-BD-10M-GYPT</t>
    <phoneticPr fontId="7" type="noConversion"/>
  </si>
  <si>
    <t>有线键鼠套装</t>
  </si>
  <si>
    <t>FK11键盘+FM12鼠标</t>
  </si>
  <si>
    <t>工控机</t>
    <phoneticPr fontId="7" type="noConversion"/>
  </si>
  <si>
    <t>黄色背景部分需安装在设备上，由机构下单；
BOM内有线材清单，请根据线材合计是否干涉；</t>
    <phoneticPr fontId="7" type="noConversion"/>
  </si>
  <si>
    <t>显示器电源线10M</t>
  </si>
  <si>
    <t>GJ-10M</t>
  </si>
  <si>
    <t>HDMI视频线10M</t>
  </si>
  <si>
    <t>USB2.0数据线公对母10m</t>
  </si>
  <si>
    <t>JC250067</t>
    <phoneticPr fontId="7" type="noConversion"/>
  </si>
  <si>
    <t>研华</t>
    <phoneticPr fontId="7" type="noConversion"/>
  </si>
  <si>
    <t>黑白工业相机</t>
  </si>
  <si>
    <t>黑白工业相机</t>
    <phoneticPr fontId="7" type="noConversion"/>
  </si>
  <si>
    <t>海康</t>
  </si>
  <si>
    <t>海康</t>
    <phoneticPr fontId="7" type="noConversion"/>
  </si>
  <si>
    <t>MV-CU120-10GM</t>
    <phoneticPr fontId="7" type="noConversion"/>
  </si>
  <si>
    <t>长步道</t>
  </si>
  <si>
    <t>定焦镜头</t>
    <phoneticPr fontId="7" type="noConversion"/>
  </si>
  <si>
    <t>FA5013A</t>
    <phoneticPr fontId="7" type="noConversion"/>
  </si>
  <si>
    <t>长步道</t>
    <phoneticPr fontId="7" type="noConversion"/>
  </si>
  <si>
    <t>康视达</t>
  </si>
  <si>
    <t>平行背光源</t>
    <phoneticPr fontId="7" type="noConversion"/>
  </si>
  <si>
    <t>CST-2PHFS300150-W</t>
    <phoneticPr fontId="7" type="noConversion"/>
  </si>
  <si>
    <t>康视达</t>
    <phoneticPr fontId="7" type="noConversion"/>
  </si>
  <si>
    <t>SM24-L10</t>
    <phoneticPr fontId="7" type="noConversion"/>
  </si>
  <si>
    <t>标准光源延长线</t>
    <phoneticPr fontId="7" type="noConversion"/>
  </si>
  <si>
    <t>工位1 上料定位</t>
    <phoneticPr fontId="7" type="noConversion"/>
  </si>
  <si>
    <t>工位2 左-切折角</t>
    <phoneticPr fontId="7" type="noConversion"/>
  </si>
  <si>
    <t>视清</t>
  </si>
  <si>
    <t>远心镜头</t>
    <phoneticPr fontId="7" type="noConversion"/>
  </si>
  <si>
    <t>WWH05-350AT</t>
    <phoneticPr fontId="7" type="noConversion"/>
  </si>
  <si>
    <t>视清</t>
    <phoneticPr fontId="7" type="noConversion"/>
  </si>
  <si>
    <t>工位3 左-UV胶</t>
    <phoneticPr fontId="7" type="noConversion"/>
  </si>
  <si>
    <t>镜头</t>
  </si>
  <si>
    <t>MFA121-U75</t>
    <phoneticPr fontId="7" type="noConversion"/>
  </si>
  <si>
    <t>显示器21.5寸</t>
    <phoneticPr fontId="7" type="noConversion"/>
  </si>
  <si>
    <t>22E1H</t>
    <phoneticPr fontId="7" type="noConversion"/>
  </si>
  <si>
    <t>冠捷</t>
    <phoneticPr fontId="7" type="noConversion"/>
  </si>
  <si>
    <t xml:space="preserve"> IPC-510L-500W+AIMB-788G2+I7-12700K+2x32G三星DDR3200-256GSSD三星+1TSSD三星+4TH企业级机械硬盘+WIN10专业版</t>
    <phoneticPr fontId="7" type="noConversion"/>
  </si>
  <si>
    <t>4口独立网卡</t>
    <phoneticPr fontId="7" type="noConversion"/>
  </si>
  <si>
    <t>MV-GE2004</t>
    <phoneticPr fontId="7" type="noConversion"/>
  </si>
  <si>
    <t>工位4 左-UV胶头</t>
    <phoneticPr fontId="7" type="noConversion"/>
  </si>
  <si>
    <t>CST-PHFS5050-W</t>
    <phoneticPr fontId="7" type="noConversion"/>
  </si>
  <si>
    <t>工位5 左-热熔胶引导</t>
    <phoneticPr fontId="7" type="noConversion"/>
  </si>
  <si>
    <t>工位6 左-热熔胶测量</t>
    <phoneticPr fontId="7" type="noConversion"/>
  </si>
  <si>
    <t>条形光源</t>
    <phoneticPr fontId="7" type="noConversion"/>
  </si>
  <si>
    <t>CST-2BS28238-UV365</t>
    <phoneticPr fontId="7" type="noConversion"/>
  </si>
  <si>
    <t>工位7 右-切折角</t>
    <phoneticPr fontId="7" type="noConversion"/>
  </si>
  <si>
    <t>工位8 右-UV胶</t>
    <phoneticPr fontId="7" type="noConversion"/>
  </si>
  <si>
    <t>工位9 右-UV胶头</t>
    <phoneticPr fontId="7" type="noConversion"/>
  </si>
  <si>
    <t>工位10 右-热熔胶引导</t>
    <phoneticPr fontId="7" type="noConversion"/>
  </si>
  <si>
    <t>工位11 右-热熔胶测量</t>
    <phoneticPr fontId="7" type="noConversion"/>
  </si>
  <si>
    <t>光源控制器</t>
  </si>
  <si>
    <t>CST-DPS24120CM-8TD</t>
  </si>
  <si>
    <t>IO板卡</t>
  </si>
  <si>
    <t>PCIE-E2I12O16</t>
  </si>
  <si>
    <t>凌臣</t>
  </si>
  <si>
    <t>IO卡端子板</t>
  </si>
  <si>
    <t>EX-E2I12O16</t>
  </si>
  <si>
    <t>IO板卡线缆3米</t>
  </si>
  <si>
    <t>YKCL-60250-3</t>
  </si>
  <si>
    <t>单价</t>
    <phoneticPr fontId="7" type="noConversion"/>
  </si>
  <si>
    <t>总价</t>
    <phoneticPr fontId="7" type="noConversion"/>
  </si>
  <si>
    <t>合计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</si>
</sst>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等线"/>
      <charset val="1"/>
      <scheme val="minor"/>
    </font>
    <font>
      <sz val="14"/>
      <color indexed="8"/>
      <name val="宋体"/>
      <family val="3"/>
      <charset val="134"/>
    </font>
    <font>
      <sz val="9"/>
      <name val="SimSun"/>
      <charset val="134"/>
    </font>
    <font>
      <sz val="14"/>
      <name val="宋体"/>
      <family val="3"/>
      <charset val="134"/>
    </font>
    <font>
      <sz val="14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22"/>
      <color rgb="FFFF0000"/>
      <name val="宋体"/>
      <family val="3"/>
      <charset val="134"/>
    </font>
    <font>
      <sz val="12"/>
      <color indexed="8"/>
      <name val="等线"/>
      <family val="3"/>
      <charset val="134"/>
      <scheme val="minor"/>
    </font>
    <font>
      <sz val="13"/>
      <color theme="1"/>
      <name val="宋体"/>
      <charset val="134"/>
    </font>
    <font>
      <sz val="13"/>
      <name val="宋体"/>
      <charset val="134"/>
    </font>
    <font>
      <sz val="14"/>
      <color theme="1"/>
      <name val="宋体"/>
      <charset val="134"/>
    </font>
    <font>
      <b/>
      <sz val="18"/>
      <color indexed="8"/>
      <name val="等线"/>
      <family val="3"/>
      <charset val="134"/>
      <scheme val="minor"/>
    </font>
    <font>
      <b/>
      <sz val="18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5" fillId="0" borderId="0"/>
    <xf numFmtId="0" fontId="5" fillId="0" borderId="0"/>
    <xf numFmtId="0" fontId="6" fillId="0" borderId="0"/>
    <xf numFmtId="0" fontId="5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>
      <alignment vertical="center"/>
    </xf>
    <xf numFmtId="0" fontId="8" fillId="2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2" borderId="3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14" fillId="4" borderId="3" xfId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textRotation="255" wrapText="1"/>
    </xf>
    <xf numFmtId="0" fontId="12" fillId="7" borderId="4" xfId="0" applyFont="1" applyFill="1" applyBorder="1" applyAlignment="1">
      <alignment horizontal="center" vertical="center" textRotation="255" wrapText="1"/>
    </xf>
    <xf numFmtId="0" fontId="12" fillId="7" borderId="7" xfId="0" applyFont="1" applyFill="1" applyBorder="1" applyAlignment="1">
      <alignment horizontal="center" vertical="center" textRotation="255" wrapText="1"/>
    </xf>
    <xf numFmtId="0" fontId="8" fillId="6" borderId="6" xfId="0" applyFont="1" applyFill="1" applyBorder="1" applyAlignment="1">
      <alignment horizontal="center" vertical="center" textRotation="255" wrapText="1"/>
    </xf>
    <xf numFmtId="0" fontId="8" fillId="6" borderId="4" xfId="0" applyFont="1" applyFill="1" applyBorder="1" applyAlignment="1">
      <alignment horizontal="center" vertical="center" textRotation="255" wrapText="1"/>
    </xf>
    <xf numFmtId="0" fontId="8" fillId="6" borderId="7" xfId="0" applyFont="1" applyFill="1" applyBorder="1" applyAlignment="1">
      <alignment horizontal="center" vertical="center" textRotation="255" wrapText="1"/>
    </xf>
    <xf numFmtId="0" fontId="8" fillId="7" borderId="1" xfId="0" applyFont="1" applyFill="1" applyBorder="1" applyAlignment="1">
      <alignment horizontal="center" vertical="center" textRotation="255" wrapText="1"/>
    </xf>
    <xf numFmtId="0" fontId="12" fillId="6" borderId="6" xfId="0" applyFont="1" applyFill="1" applyBorder="1" applyAlignment="1">
      <alignment horizontal="center" vertical="center" textRotation="255" wrapText="1"/>
    </xf>
    <xf numFmtId="0" fontId="12" fillId="6" borderId="4" xfId="0" applyFont="1" applyFill="1" applyBorder="1" applyAlignment="1">
      <alignment horizontal="center" vertical="center" textRotation="255" wrapText="1"/>
    </xf>
    <xf numFmtId="0" fontId="12" fillId="6" borderId="7" xfId="0" applyFont="1" applyFill="1" applyBorder="1" applyAlignment="1">
      <alignment horizontal="center" vertical="center" textRotation="255" wrapText="1"/>
    </xf>
    <xf numFmtId="0" fontId="12" fillId="5" borderId="6" xfId="0" applyFont="1" applyFill="1" applyBorder="1" applyAlignment="1">
      <alignment horizontal="center" vertical="center" textRotation="255" wrapText="1"/>
    </xf>
    <xf numFmtId="0" fontId="12" fillId="5" borderId="4" xfId="0" applyFont="1" applyFill="1" applyBorder="1" applyAlignment="1">
      <alignment horizontal="center" vertical="center" textRotation="255" wrapText="1"/>
    </xf>
    <xf numFmtId="0" fontId="12" fillId="5" borderId="7" xfId="0" applyFont="1" applyFill="1" applyBorder="1" applyAlignment="1">
      <alignment horizontal="center" vertical="center" textRotation="255" wrapText="1"/>
    </xf>
    <xf numFmtId="0" fontId="8" fillId="5" borderId="6" xfId="0" applyFont="1" applyFill="1" applyBorder="1" applyAlignment="1">
      <alignment horizontal="center" vertical="center" textRotation="255" wrapText="1"/>
    </xf>
    <xf numFmtId="0" fontId="8" fillId="5" borderId="4" xfId="0" applyFont="1" applyFill="1" applyBorder="1" applyAlignment="1">
      <alignment horizontal="center" vertical="center" textRotation="255" wrapText="1"/>
    </xf>
    <xf numFmtId="0" fontId="8" fillId="5" borderId="7" xfId="0" applyFont="1" applyFill="1" applyBorder="1" applyAlignment="1">
      <alignment horizontal="center" vertical="center" textRotation="255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1" fillId="4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>
      <alignment vertical="center"/>
    </xf>
    <xf numFmtId="0" fontId="17" fillId="2" borderId="0" xfId="0" applyNumberFormat="1" applyFont="1" applyFill="1" applyBorder="1" applyAlignment="1">
      <alignment horizontal="center" vertical="center" wrapText="1"/>
    </xf>
  </cellXfs>
  <cellStyles count="5">
    <cellStyle name="常规" xfId="0" builtinId="0"/>
    <cellStyle name="常规 11" xfId="4" xr:uid="{28426179-DAD1-41F9-A946-5256E775586D}"/>
    <cellStyle name="常规 2" xfId="1" xr:uid="{00000000-0005-0000-0000-000031000000}"/>
    <cellStyle name="常规 3" xfId="2" xr:uid="{00000000-0005-0000-0000-000032000000}"/>
    <cellStyle name="普通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16329</xdr:colOff>
      <xdr:row>0</xdr:row>
      <xdr:rowOff>537713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12225" cy="537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3"/>
  <sheetViews>
    <sheetView tabSelected="1" topLeftCell="A94" zoomScale="70" zoomScaleNormal="70" workbookViewId="0">
      <selection activeCell="T111" sqref="T111"/>
    </sheetView>
  </sheetViews>
  <sheetFormatPr defaultColWidth="10" defaultRowHeight="15.75"/>
  <cols>
    <col min="1" max="1" width="6" customWidth="1"/>
    <col min="2" max="2" width="7.25" style="8" customWidth="1"/>
    <col min="3" max="3" width="8.125" style="17" customWidth="1"/>
    <col min="4" max="4" width="13.5" customWidth="1"/>
    <col min="5" max="5" width="30" customWidth="1"/>
    <col min="6" max="6" width="47.25" customWidth="1"/>
    <col min="7" max="7" width="10.375" customWidth="1"/>
    <col min="8" max="8" width="5.75" customWidth="1"/>
    <col min="9" max="9" width="7" style="3" customWidth="1"/>
    <col min="10" max="10" width="6.375" customWidth="1"/>
    <col min="11" max="12" width="5" customWidth="1"/>
    <col min="13" max="13" width="7.25" customWidth="1"/>
    <col min="14" max="14" width="7.25" style="2" hidden="1" customWidth="1"/>
    <col min="15" max="15" width="17.125" style="2" hidden="1" customWidth="1"/>
    <col min="16" max="17" width="15.125" customWidth="1"/>
    <col min="18" max="18" width="9.75" customWidth="1"/>
  </cols>
  <sheetData>
    <row r="1" spans="1:17" ht="48.95" customHeight="1">
      <c r="A1" s="40"/>
      <c r="B1" s="40"/>
      <c r="C1" s="40"/>
      <c r="D1" s="40"/>
      <c r="E1" s="40"/>
      <c r="F1" s="40"/>
      <c r="G1" s="40"/>
      <c r="H1" s="40"/>
      <c r="I1" s="41"/>
      <c r="J1" s="40"/>
      <c r="K1" s="40"/>
      <c r="L1" s="40"/>
      <c r="M1" s="40"/>
      <c r="N1" s="40"/>
      <c r="O1" s="40"/>
      <c r="P1" s="40"/>
      <c r="Q1" s="40"/>
    </row>
    <row r="2" spans="1:17" s="1" customFormat="1" ht="60" customHeight="1">
      <c r="A2" s="42" t="s">
        <v>48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17" s="1" customFormat="1" ht="30" customHeight="1">
      <c r="A3" s="43" t="s">
        <v>0</v>
      </c>
      <c r="B3" s="43"/>
      <c r="C3" s="15" t="s">
        <v>19</v>
      </c>
      <c r="D3" s="4" t="s">
        <v>1</v>
      </c>
      <c r="E3" s="4" t="s">
        <v>53</v>
      </c>
      <c r="F3" s="4" t="s">
        <v>20</v>
      </c>
      <c r="G3" s="4" t="s">
        <v>18</v>
      </c>
      <c r="H3" s="43" t="s">
        <v>21</v>
      </c>
      <c r="I3" s="43"/>
      <c r="J3" s="44" t="s">
        <v>22</v>
      </c>
      <c r="K3" s="45"/>
      <c r="L3" s="46"/>
      <c r="M3" s="4" t="s">
        <v>2</v>
      </c>
      <c r="N3" s="43">
        <v>18664952987</v>
      </c>
      <c r="O3" s="43"/>
      <c r="P3" s="43"/>
      <c r="Q3" s="43"/>
    </row>
    <row r="4" spans="1:17" s="1" customFormat="1" ht="50.25" customHeight="1">
      <c r="A4" s="4" t="s">
        <v>3</v>
      </c>
      <c r="B4" s="7" t="s">
        <v>4</v>
      </c>
      <c r="C4" s="16" t="s">
        <v>17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5" t="s">
        <v>15</v>
      </c>
      <c r="O4" s="5" t="s">
        <v>16</v>
      </c>
      <c r="P4" s="4" t="s">
        <v>105</v>
      </c>
      <c r="Q4" s="4" t="s">
        <v>106</v>
      </c>
    </row>
    <row r="5" spans="1:17" ht="28.5">
      <c r="A5" s="14">
        <v>1</v>
      </c>
      <c r="B5" s="13" t="s">
        <v>28</v>
      </c>
      <c r="C5" s="34" t="s">
        <v>70</v>
      </c>
      <c r="D5" s="6">
        <v>4202000029</v>
      </c>
      <c r="E5" s="6" t="s">
        <v>31</v>
      </c>
      <c r="F5" s="6" t="s">
        <v>32</v>
      </c>
      <c r="G5" s="6" t="s">
        <v>33</v>
      </c>
      <c r="H5" s="9" t="s">
        <v>27</v>
      </c>
      <c r="I5" s="9">
        <v>2</v>
      </c>
      <c r="J5" s="9">
        <v>1</v>
      </c>
      <c r="K5" s="10"/>
      <c r="L5" s="10"/>
      <c r="M5" s="9">
        <f t="shared" ref="M5:M76" si="0">J5*I5</f>
        <v>2</v>
      </c>
      <c r="N5" s="11"/>
      <c r="O5" s="11"/>
      <c r="P5" s="47">
        <v>45</v>
      </c>
      <c r="Q5" s="47">
        <f>P5*M5</f>
        <v>90</v>
      </c>
    </row>
    <row r="6" spans="1:17" ht="28.5">
      <c r="A6" s="14">
        <v>2</v>
      </c>
      <c r="B6" s="13" t="s">
        <v>28</v>
      </c>
      <c r="C6" s="35"/>
      <c r="D6" s="6">
        <v>3001000113</v>
      </c>
      <c r="E6" s="6" t="s">
        <v>23</v>
      </c>
      <c r="F6" s="6" t="s">
        <v>44</v>
      </c>
      <c r="G6" s="6" t="s">
        <v>33</v>
      </c>
      <c r="H6" s="9" t="s">
        <v>27</v>
      </c>
      <c r="I6" s="9">
        <v>2</v>
      </c>
      <c r="J6" s="9">
        <v>1</v>
      </c>
      <c r="K6" s="10"/>
      <c r="L6" s="10"/>
      <c r="M6" s="9">
        <f t="shared" si="0"/>
        <v>2</v>
      </c>
      <c r="N6" s="11"/>
      <c r="O6" s="11"/>
      <c r="P6" s="47">
        <v>120</v>
      </c>
      <c r="Q6" s="47">
        <f t="shared" ref="Q6:Q69" si="1">P6*M6</f>
        <v>240</v>
      </c>
    </row>
    <row r="7" spans="1:17" ht="28.5">
      <c r="A7" s="14">
        <v>3</v>
      </c>
      <c r="B7" s="13" t="s">
        <v>28</v>
      </c>
      <c r="C7" s="35"/>
      <c r="D7" s="12">
        <v>4000000021</v>
      </c>
      <c r="E7" s="12" t="s">
        <v>56</v>
      </c>
      <c r="F7" s="12" t="s">
        <v>59</v>
      </c>
      <c r="G7" s="12" t="s">
        <v>58</v>
      </c>
      <c r="H7" s="9" t="s">
        <v>27</v>
      </c>
      <c r="I7" s="9">
        <v>2</v>
      </c>
      <c r="J7" s="9">
        <v>1</v>
      </c>
      <c r="K7" s="10"/>
      <c r="L7" s="10"/>
      <c r="M7" s="9">
        <f t="shared" si="0"/>
        <v>2</v>
      </c>
      <c r="N7" s="11"/>
      <c r="O7" s="11"/>
      <c r="P7" s="47">
        <v>900</v>
      </c>
      <c r="Q7" s="47">
        <f t="shared" si="1"/>
        <v>1800</v>
      </c>
    </row>
    <row r="8" spans="1:17" ht="28.5">
      <c r="A8" s="14">
        <v>4</v>
      </c>
      <c r="B8" s="13" t="s">
        <v>28</v>
      </c>
      <c r="C8" s="35"/>
      <c r="D8" s="12">
        <v>4100000191</v>
      </c>
      <c r="E8" s="12" t="s">
        <v>61</v>
      </c>
      <c r="F8" s="12" t="s">
        <v>62</v>
      </c>
      <c r="G8" s="12" t="s">
        <v>63</v>
      </c>
      <c r="H8" s="9" t="s">
        <v>27</v>
      </c>
      <c r="I8" s="9">
        <v>2</v>
      </c>
      <c r="J8" s="9">
        <v>1</v>
      </c>
      <c r="K8" s="10"/>
      <c r="L8" s="10"/>
      <c r="M8" s="9">
        <f t="shared" si="0"/>
        <v>2</v>
      </c>
      <c r="N8" s="11"/>
      <c r="O8" s="11"/>
      <c r="P8" s="47">
        <v>450</v>
      </c>
      <c r="Q8" s="47">
        <f t="shared" si="1"/>
        <v>900</v>
      </c>
    </row>
    <row r="9" spans="1:17" ht="28.5">
      <c r="A9" s="14">
        <v>5</v>
      </c>
      <c r="B9" s="13" t="s">
        <v>28</v>
      </c>
      <c r="C9" s="35"/>
      <c r="D9" s="12">
        <v>4201000254</v>
      </c>
      <c r="E9" s="12" t="s">
        <v>65</v>
      </c>
      <c r="F9" s="12" t="s">
        <v>66</v>
      </c>
      <c r="G9" s="12" t="s">
        <v>67</v>
      </c>
      <c r="H9" s="9" t="s">
        <v>27</v>
      </c>
      <c r="I9" s="9">
        <v>1</v>
      </c>
      <c r="J9" s="9">
        <v>1</v>
      </c>
      <c r="K9" s="10"/>
      <c r="L9" s="10"/>
      <c r="M9" s="9">
        <f t="shared" si="0"/>
        <v>1</v>
      </c>
      <c r="N9" s="11"/>
      <c r="O9" s="11"/>
      <c r="P9" s="47">
        <v>650</v>
      </c>
      <c r="Q9" s="47">
        <f t="shared" si="1"/>
        <v>650</v>
      </c>
    </row>
    <row r="10" spans="1:17" ht="28.5">
      <c r="A10" s="14">
        <v>6</v>
      </c>
      <c r="B10" s="13" t="s">
        <v>28</v>
      </c>
      <c r="C10" s="36"/>
      <c r="D10" s="6">
        <v>4202000017</v>
      </c>
      <c r="E10" s="6" t="s">
        <v>69</v>
      </c>
      <c r="F10" s="6" t="s">
        <v>68</v>
      </c>
      <c r="G10" s="6" t="s">
        <v>67</v>
      </c>
      <c r="H10" s="9" t="s">
        <v>27</v>
      </c>
      <c r="I10" s="9">
        <v>1</v>
      </c>
      <c r="J10" s="9">
        <v>1</v>
      </c>
      <c r="K10" s="10"/>
      <c r="L10" s="10"/>
      <c r="M10" s="9">
        <f t="shared" si="0"/>
        <v>1</v>
      </c>
      <c r="N10" s="11"/>
      <c r="O10" s="11"/>
      <c r="P10" s="47">
        <v>10</v>
      </c>
      <c r="Q10" s="47">
        <f t="shared" si="1"/>
        <v>10</v>
      </c>
    </row>
    <row r="11" spans="1:17" ht="28.5">
      <c r="A11" s="14">
        <v>7</v>
      </c>
      <c r="B11" s="13" t="s">
        <v>28</v>
      </c>
      <c r="C11" s="34" t="s">
        <v>71</v>
      </c>
      <c r="D11" s="6">
        <v>4202000029</v>
      </c>
      <c r="E11" s="6" t="s">
        <v>31</v>
      </c>
      <c r="F11" s="6" t="s">
        <v>32</v>
      </c>
      <c r="G11" s="6" t="s">
        <v>33</v>
      </c>
      <c r="H11" s="9" t="s">
        <v>27</v>
      </c>
      <c r="I11" s="9">
        <v>4</v>
      </c>
      <c r="J11" s="9">
        <v>1</v>
      </c>
      <c r="K11" s="10"/>
      <c r="L11" s="10"/>
      <c r="M11" s="9">
        <f t="shared" si="0"/>
        <v>4</v>
      </c>
      <c r="N11" s="11"/>
      <c r="O11" s="11"/>
      <c r="P11" s="47">
        <v>45</v>
      </c>
      <c r="Q11" s="47">
        <f t="shared" si="1"/>
        <v>180</v>
      </c>
    </row>
    <row r="12" spans="1:17" ht="28.5">
      <c r="A12" s="14">
        <v>8</v>
      </c>
      <c r="B12" s="13" t="s">
        <v>28</v>
      </c>
      <c r="C12" s="35"/>
      <c r="D12" s="6">
        <v>3001000113</v>
      </c>
      <c r="E12" s="6" t="s">
        <v>23</v>
      </c>
      <c r="F12" s="6" t="s">
        <v>44</v>
      </c>
      <c r="G12" s="6" t="s">
        <v>33</v>
      </c>
      <c r="H12" s="9" t="s">
        <v>27</v>
      </c>
      <c r="I12" s="9">
        <v>4</v>
      </c>
      <c r="J12" s="9">
        <v>1</v>
      </c>
      <c r="K12" s="10"/>
      <c r="L12" s="10"/>
      <c r="M12" s="9">
        <f t="shared" si="0"/>
        <v>4</v>
      </c>
      <c r="N12" s="11"/>
      <c r="O12" s="11"/>
      <c r="P12" s="47">
        <v>120</v>
      </c>
      <c r="Q12" s="47">
        <f t="shared" si="1"/>
        <v>480</v>
      </c>
    </row>
    <row r="13" spans="1:17" ht="28.5">
      <c r="A13" s="14">
        <v>9</v>
      </c>
      <c r="B13" s="13" t="s">
        <v>28</v>
      </c>
      <c r="C13" s="35"/>
      <c r="D13" s="12">
        <v>4000000021</v>
      </c>
      <c r="E13" s="12" t="s">
        <v>56</v>
      </c>
      <c r="F13" s="12" t="s">
        <v>59</v>
      </c>
      <c r="G13" s="12" t="s">
        <v>58</v>
      </c>
      <c r="H13" s="9" t="s">
        <v>27</v>
      </c>
      <c r="I13" s="9">
        <v>4</v>
      </c>
      <c r="J13" s="9">
        <v>1</v>
      </c>
      <c r="K13" s="10"/>
      <c r="L13" s="10"/>
      <c r="M13" s="9">
        <f t="shared" si="0"/>
        <v>4</v>
      </c>
      <c r="N13" s="11"/>
      <c r="O13" s="11"/>
      <c r="P13" s="47">
        <v>900</v>
      </c>
      <c r="Q13" s="47">
        <f t="shared" si="1"/>
        <v>3600</v>
      </c>
    </row>
    <row r="14" spans="1:17" ht="28.5">
      <c r="A14" s="14">
        <v>10</v>
      </c>
      <c r="B14" s="13" t="s">
        <v>28</v>
      </c>
      <c r="C14" s="35"/>
      <c r="D14" s="12">
        <v>4100000192</v>
      </c>
      <c r="E14" s="12" t="s">
        <v>73</v>
      </c>
      <c r="F14" s="12" t="s">
        <v>74</v>
      </c>
      <c r="G14" s="12" t="s">
        <v>75</v>
      </c>
      <c r="H14" s="9" t="s">
        <v>27</v>
      </c>
      <c r="I14" s="9">
        <v>4</v>
      </c>
      <c r="J14" s="9">
        <v>1</v>
      </c>
      <c r="K14" s="10"/>
      <c r="L14" s="10"/>
      <c r="M14" s="9">
        <f t="shared" si="0"/>
        <v>4</v>
      </c>
      <c r="N14" s="11"/>
      <c r="O14" s="11"/>
      <c r="P14" s="47">
        <v>780</v>
      </c>
      <c r="Q14" s="47">
        <f t="shared" si="1"/>
        <v>3120</v>
      </c>
    </row>
    <row r="15" spans="1:17" ht="28.5">
      <c r="A15" s="14">
        <v>11</v>
      </c>
      <c r="B15" s="13" t="s">
        <v>28</v>
      </c>
      <c r="C15" s="35"/>
      <c r="D15" s="12">
        <v>4201000180</v>
      </c>
      <c r="E15" s="12" t="s">
        <v>65</v>
      </c>
      <c r="F15" s="12" t="s">
        <v>30</v>
      </c>
      <c r="G15" s="12" t="s">
        <v>67</v>
      </c>
      <c r="H15" s="9" t="s">
        <v>27</v>
      </c>
      <c r="I15" s="9">
        <v>2</v>
      </c>
      <c r="J15" s="9">
        <v>1</v>
      </c>
      <c r="K15" s="10"/>
      <c r="L15" s="10"/>
      <c r="M15" s="9">
        <f t="shared" si="0"/>
        <v>2</v>
      </c>
      <c r="N15" s="11"/>
      <c r="O15" s="11"/>
      <c r="P15" s="47">
        <v>365</v>
      </c>
      <c r="Q15" s="47">
        <f t="shared" si="1"/>
        <v>730</v>
      </c>
    </row>
    <row r="16" spans="1:17" ht="28.5">
      <c r="A16" s="14">
        <v>12</v>
      </c>
      <c r="B16" s="13" t="s">
        <v>28</v>
      </c>
      <c r="C16" s="36"/>
      <c r="D16" s="6">
        <v>4202000017</v>
      </c>
      <c r="E16" s="6" t="s">
        <v>69</v>
      </c>
      <c r="F16" s="6" t="s">
        <v>68</v>
      </c>
      <c r="G16" s="6" t="s">
        <v>67</v>
      </c>
      <c r="H16" s="9" t="s">
        <v>27</v>
      </c>
      <c r="I16" s="9">
        <v>2</v>
      </c>
      <c r="J16" s="9">
        <v>1</v>
      </c>
      <c r="K16" s="10"/>
      <c r="L16" s="10"/>
      <c r="M16" s="9">
        <f t="shared" si="0"/>
        <v>2</v>
      </c>
      <c r="N16" s="11"/>
      <c r="O16" s="11"/>
      <c r="P16" s="47">
        <v>10</v>
      </c>
      <c r="Q16" s="47">
        <f t="shared" si="1"/>
        <v>20</v>
      </c>
    </row>
    <row r="17" spans="1:17" ht="28.5">
      <c r="A17" s="14">
        <v>13</v>
      </c>
      <c r="B17" s="13" t="s">
        <v>28</v>
      </c>
      <c r="C17" s="34" t="s">
        <v>76</v>
      </c>
      <c r="D17" s="6">
        <v>4202000029</v>
      </c>
      <c r="E17" s="6" t="s">
        <v>31</v>
      </c>
      <c r="F17" s="6" t="s">
        <v>32</v>
      </c>
      <c r="G17" s="6" t="s">
        <v>33</v>
      </c>
      <c r="H17" s="9" t="s">
        <v>27</v>
      </c>
      <c r="I17" s="9">
        <v>4</v>
      </c>
      <c r="J17" s="9">
        <v>1</v>
      </c>
      <c r="K17" s="10"/>
      <c r="L17" s="10"/>
      <c r="M17" s="9">
        <f t="shared" si="0"/>
        <v>4</v>
      </c>
      <c r="N17" s="11"/>
      <c r="O17" s="11"/>
      <c r="P17" s="47">
        <v>45</v>
      </c>
      <c r="Q17" s="47">
        <f t="shared" si="1"/>
        <v>180</v>
      </c>
    </row>
    <row r="18" spans="1:17" ht="28.5">
      <c r="A18" s="14">
        <v>14</v>
      </c>
      <c r="B18" s="13" t="s">
        <v>28</v>
      </c>
      <c r="C18" s="35"/>
      <c r="D18" s="6">
        <v>3001000116</v>
      </c>
      <c r="E18" s="6" t="s">
        <v>23</v>
      </c>
      <c r="F18" s="6" t="s">
        <v>43</v>
      </c>
      <c r="G18" s="6" t="s">
        <v>33</v>
      </c>
      <c r="H18" s="9" t="s">
        <v>27</v>
      </c>
      <c r="I18" s="9">
        <v>4</v>
      </c>
      <c r="J18" s="9">
        <v>1</v>
      </c>
      <c r="K18" s="10"/>
      <c r="L18" s="10"/>
      <c r="M18" s="9">
        <f t="shared" si="0"/>
        <v>4</v>
      </c>
      <c r="N18" s="11"/>
      <c r="O18" s="11"/>
      <c r="P18" s="47">
        <v>60</v>
      </c>
      <c r="Q18" s="47">
        <f t="shared" si="1"/>
        <v>240</v>
      </c>
    </row>
    <row r="19" spans="1:17" ht="28.5">
      <c r="A19" s="14">
        <v>15</v>
      </c>
      <c r="B19" s="13" t="s">
        <v>28</v>
      </c>
      <c r="C19" s="35"/>
      <c r="D19" s="12">
        <v>4000000019</v>
      </c>
      <c r="E19" s="12" t="s">
        <v>55</v>
      </c>
      <c r="F19" s="12" t="s">
        <v>24</v>
      </c>
      <c r="G19" s="12" t="s">
        <v>57</v>
      </c>
      <c r="H19" s="9" t="s">
        <v>27</v>
      </c>
      <c r="I19" s="9">
        <v>4</v>
      </c>
      <c r="J19" s="9">
        <v>1</v>
      </c>
      <c r="K19" s="10"/>
      <c r="L19" s="10"/>
      <c r="M19" s="9">
        <f t="shared" si="0"/>
        <v>4</v>
      </c>
      <c r="N19" s="11"/>
      <c r="O19" s="11"/>
      <c r="P19" s="47">
        <v>1350</v>
      </c>
      <c r="Q19" s="47">
        <f t="shared" si="1"/>
        <v>5400</v>
      </c>
    </row>
    <row r="20" spans="1:17" ht="28.5">
      <c r="A20" s="14">
        <v>16</v>
      </c>
      <c r="B20" s="13" t="s">
        <v>28</v>
      </c>
      <c r="C20" s="35"/>
      <c r="D20" s="12">
        <v>4100000123</v>
      </c>
      <c r="E20" s="12" t="s">
        <v>77</v>
      </c>
      <c r="F20" s="12" t="s">
        <v>78</v>
      </c>
      <c r="G20" s="12" t="s">
        <v>72</v>
      </c>
      <c r="H20" s="9" t="s">
        <v>27</v>
      </c>
      <c r="I20" s="9">
        <v>4</v>
      </c>
      <c r="J20" s="9">
        <v>1</v>
      </c>
      <c r="K20" s="10"/>
      <c r="L20" s="10"/>
      <c r="M20" s="9">
        <f t="shared" si="0"/>
        <v>4</v>
      </c>
      <c r="N20" s="11"/>
      <c r="O20" s="11"/>
      <c r="P20" s="47">
        <v>450</v>
      </c>
      <c r="Q20" s="47">
        <f t="shared" si="1"/>
        <v>1800</v>
      </c>
    </row>
    <row r="21" spans="1:17" ht="28.5">
      <c r="A21" s="14">
        <v>17</v>
      </c>
      <c r="B21" s="13" t="s">
        <v>28</v>
      </c>
      <c r="C21" s="35"/>
      <c r="D21" s="12">
        <v>4201000180</v>
      </c>
      <c r="E21" s="12" t="s">
        <v>65</v>
      </c>
      <c r="F21" s="12" t="s">
        <v>30</v>
      </c>
      <c r="G21" s="12" t="s">
        <v>67</v>
      </c>
      <c r="H21" s="9" t="s">
        <v>27</v>
      </c>
      <c r="I21" s="9">
        <v>1</v>
      </c>
      <c r="J21" s="9">
        <v>1</v>
      </c>
      <c r="K21" s="10"/>
      <c r="L21" s="10"/>
      <c r="M21" s="9">
        <f t="shared" si="0"/>
        <v>1</v>
      </c>
      <c r="N21" s="11"/>
      <c r="O21" s="11"/>
      <c r="P21" s="47">
        <v>365</v>
      </c>
      <c r="Q21" s="47">
        <f t="shared" si="1"/>
        <v>365</v>
      </c>
    </row>
    <row r="22" spans="1:17" ht="28.5">
      <c r="A22" s="14">
        <v>18</v>
      </c>
      <c r="B22" s="13" t="s">
        <v>28</v>
      </c>
      <c r="C22" s="36"/>
      <c r="D22" s="6">
        <v>4202000017</v>
      </c>
      <c r="E22" s="6" t="s">
        <v>69</v>
      </c>
      <c r="F22" s="6" t="s">
        <v>68</v>
      </c>
      <c r="G22" s="6" t="s">
        <v>67</v>
      </c>
      <c r="H22" s="9" t="s">
        <v>27</v>
      </c>
      <c r="I22" s="9">
        <v>1</v>
      </c>
      <c r="J22" s="9">
        <v>1</v>
      </c>
      <c r="K22" s="10"/>
      <c r="L22" s="10"/>
      <c r="M22" s="9">
        <f t="shared" si="0"/>
        <v>1</v>
      </c>
      <c r="N22" s="11"/>
      <c r="O22" s="11"/>
      <c r="P22" s="47">
        <v>10</v>
      </c>
      <c r="Q22" s="47">
        <f t="shared" si="1"/>
        <v>10</v>
      </c>
    </row>
    <row r="23" spans="1:17" ht="28.5">
      <c r="A23" s="14">
        <v>19</v>
      </c>
      <c r="B23" s="13" t="s">
        <v>28</v>
      </c>
      <c r="C23" s="37" t="s">
        <v>29</v>
      </c>
      <c r="D23" s="12">
        <v>2004020003</v>
      </c>
      <c r="E23" s="12" t="s">
        <v>79</v>
      </c>
      <c r="F23" s="12" t="s">
        <v>80</v>
      </c>
      <c r="G23" s="12" t="s">
        <v>81</v>
      </c>
      <c r="H23" s="9" t="s">
        <v>27</v>
      </c>
      <c r="I23" s="9">
        <v>1</v>
      </c>
      <c r="J23" s="9">
        <v>1</v>
      </c>
      <c r="K23" s="10"/>
      <c r="L23" s="10"/>
      <c r="M23" s="9">
        <f t="shared" si="0"/>
        <v>1</v>
      </c>
      <c r="N23" s="11"/>
      <c r="O23" s="11"/>
      <c r="P23" s="47">
        <v>700</v>
      </c>
      <c r="Q23" s="47">
        <f t="shared" si="1"/>
        <v>700</v>
      </c>
    </row>
    <row r="24" spans="1:17" ht="28.5">
      <c r="A24" s="14">
        <v>20</v>
      </c>
      <c r="B24" s="13" t="s">
        <v>28</v>
      </c>
      <c r="C24" s="38"/>
      <c r="D24" s="6">
        <v>2004020007</v>
      </c>
      <c r="E24" s="6" t="s">
        <v>49</v>
      </c>
      <c r="F24" s="6" t="s">
        <v>50</v>
      </c>
      <c r="G24" s="6" t="s">
        <v>34</v>
      </c>
      <c r="H24" s="9" t="s">
        <v>27</v>
      </c>
      <c r="I24" s="9">
        <v>1</v>
      </c>
      <c r="J24" s="9">
        <v>1</v>
      </c>
      <c r="K24" s="10"/>
      <c r="L24" s="10"/>
      <c r="M24" s="9">
        <f t="shared" si="0"/>
        <v>1</v>
      </c>
      <c r="N24" s="11"/>
      <c r="O24" s="11"/>
      <c r="P24" s="47">
        <v>40</v>
      </c>
      <c r="Q24" s="47">
        <f t="shared" si="1"/>
        <v>40</v>
      </c>
    </row>
    <row r="25" spans="1:17" ht="28.5">
      <c r="A25" s="14">
        <v>21</v>
      </c>
      <c r="B25" s="13" t="s">
        <v>28</v>
      </c>
      <c r="C25" s="38"/>
      <c r="D25" s="6">
        <v>3001000043</v>
      </c>
      <c r="E25" s="6" t="s">
        <v>51</v>
      </c>
      <c r="F25" s="6" t="s">
        <v>35</v>
      </c>
      <c r="G25" s="6" t="s">
        <v>25</v>
      </c>
      <c r="H25" s="9" t="s">
        <v>27</v>
      </c>
      <c r="I25" s="9">
        <v>1</v>
      </c>
      <c r="J25" s="9">
        <v>1</v>
      </c>
      <c r="K25" s="10"/>
      <c r="L25" s="10"/>
      <c r="M25" s="9">
        <f t="shared" si="0"/>
        <v>1</v>
      </c>
      <c r="N25" s="11"/>
      <c r="O25" s="11"/>
      <c r="P25" s="47">
        <v>140</v>
      </c>
      <c r="Q25" s="47">
        <f t="shared" si="1"/>
        <v>140</v>
      </c>
    </row>
    <row r="26" spans="1:17" ht="28.5">
      <c r="A26" s="14">
        <v>22</v>
      </c>
      <c r="B26" s="13" t="s">
        <v>28</v>
      </c>
      <c r="C26" s="38"/>
      <c r="D26" s="6">
        <v>3001000042</v>
      </c>
      <c r="E26" s="6" t="s">
        <v>52</v>
      </c>
      <c r="F26" s="6" t="s">
        <v>36</v>
      </c>
      <c r="G26" s="6" t="s">
        <v>25</v>
      </c>
      <c r="H26" s="9" t="s">
        <v>27</v>
      </c>
      <c r="I26" s="9">
        <v>2</v>
      </c>
      <c r="J26" s="9">
        <v>1</v>
      </c>
      <c r="K26" s="10"/>
      <c r="L26" s="10"/>
      <c r="M26" s="9">
        <f t="shared" si="0"/>
        <v>2</v>
      </c>
      <c r="N26" s="11"/>
      <c r="O26" s="11"/>
      <c r="P26" s="47">
        <v>80</v>
      </c>
      <c r="Q26" s="47">
        <f t="shared" si="1"/>
        <v>160</v>
      </c>
    </row>
    <row r="27" spans="1:17" ht="28.5">
      <c r="A27" s="14">
        <v>23</v>
      </c>
      <c r="B27" s="13" t="s">
        <v>28</v>
      </c>
      <c r="C27" s="38"/>
      <c r="D27" s="12">
        <v>2004030003</v>
      </c>
      <c r="E27" s="12" t="s">
        <v>45</v>
      </c>
      <c r="F27" s="12" t="s">
        <v>46</v>
      </c>
      <c r="G27" s="12" t="s">
        <v>26</v>
      </c>
      <c r="H27" s="9" t="s">
        <v>27</v>
      </c>
      <c r="I27" s="9">
        <v>1</v>
      </c>
      <c r="J27" s="9">
        <v>1</v>
      </c>
      <c r="K27" s="10"/>
      <c r="L27" s="10"/>
      <c r="M27" s="9">
        <f t="shared" si="0"/>
        <v>1</v>
      </c>
      <c r="N27" s="11"/>
      <c r="O27" s="11"/>
      <c r="P27" s="47">
        <v>130</v>
      </c>
      <c r="Q27" s="47">
        <f t="shared" si="1"/>
        <v>130</v>
      </c>
    </row>
    <row r="28" spans="1:17">
      <c r="A28" s="14"/>
      <c r="B28" s="13"/>
      <c r="C28" s="38"/>
      <c r="D28" s="18">
        <v>4400000069</v>
      </c>
      <c r="E28" s="19" t="s">
        <v>98</v>
      </c>
      <c r="F28" s="19" t="s">
        <v>99</v>
      </c>
      <c r="G28" s="19" t="s">
        <v>100</v>
      </c>
      <c r="H28" s="9" t="s">
        <v>27</v>
      </c>
      <c r="I28" s="9">
        <v>1</v>
      </c>
      <c r="J28" s="9">
        <v>1</v>
      </c>
      <c r="K28" s="10"/>
      <c r="L28" s="10"/>
      <c r="M28" s="9">
        <f t="shared" ref="M28:M30" si="2">J28*I28</f>
        <v>1</v>
      </c>
      <c r="N28" s="11"/>
      <c r="O28" s="11"/>
      <c r="P28" s="47">
        <v>700</v>
      </c>
      <c r="Q28" s="47">
        <f t="shared" si="1"/>
        <v>700</v>
      </c>
    </row>
    <row r="29" spans="1:17" ht="18.75">
      <c r="A29" s="14"/>
      <c r="B29" s="13"/>
      <c r="C29" s="38"/>
      <c r="D29" s="23">
        <v>4202000131</v>
      </c>
      <c r="E29" s="23" t="s">
        <v>103</v>
      </c>
      <c r="F29" s="23" t="s">
        <v>104</v>
      </c>
      <c r="G29" s="23" t="s">
        <v>100</v>
      </c>
      <c r="H29" s="9" t="s">
        <v>27</v>
      </c>
      <c r="I29" s="9">
        <v>1</v>
      </c>
      <c r="J29" s="9">
        <v>1</v>
      </c>
      <c r="K29" s="10"/>
      <c r="L29" s="10"/>
      <c r="M29" s="9">
        <f t="shared" si="2"/>
        <v>1</v>
      </c>
      <c r="N29" s="11"/>
      <c r="O29" s="11"/>
      <c r="P29" s="47">
        <v>200</v>
      </c>
      <c r="Q29" s="47">
        <f t="shared" si="1"/>
        <v>200</v>
      </c>
    </row>
    <row r="30" spans="1:17">
      <c r="A30" s="14"/>
      <c r="B30" s="13"/>
      <c r="C30" s="38"/>
      <c r="D30" s="20">
        <v>3101000111</v>
      </c>
      <c r="E30" s="21" t="s">
        <v>101</v>
      </c>
      <c r="F30" s="22" t="s">
        <v>102</v>
      </c>
      <c r="G30" s="22" t="s">
        <v>100</v>
      </c>
      <c r="H30" s="9" t="s">
        <v>27</v>
      </c>
      <c r="I30" s="9">
        <v>1</v>
      </c>
      <c r="J30" s="9">
        <v>1</v>
      </c>
      <c r="K30" s="10"/>
      <c r="L30" s="10"/>
      <c r="M30" s="9">
        <f t="shared" si="2"/>
        <v>1</v>
      </c>
      <c r="N30" s="11"/>
      <c r="O30" s="11"/>
      <c r="P30" s="47">
        <v>600</v>
      </c>
      <c r="Q30" s="47">
        <f t="shared" si="1"/>
        <v>600</v>
      </c>
    </row>
    <row r="31" spans="1:17" ht="75">
      <c r="A31" s="14">
        <v>24</v>
      </c>
      <c r="B31" s="13" t="s">
        <v>28</v>
      </c>
      <c r="C31" s="38"/>
      <c r="D31" s="12">
        <v>4300000170</v>
      </c>
      <c r="E31" s="12" t="s">
        <v>47</v>
      </c>
      <c r="F31" s="12" t="s">
        <v>82</v>
      </c>
      <c r="G31" s="12" t="s">
        <v>54</v>
      </c>
      <c r="H31" s="9" t="s">
        <v>27</v>
      </c>
      <c r="I31" s="9">
        <v>1</v>
      </c>
      <c r="J31" s="9">
        <v>1</v>
      </c>
      <c r="K31" s="10"/>
      <c r="L31" s="10"/>
      <c r="M31" s="9">
        <f t="shared" si="0"/>
        <v>1</v>
      </c>
      <c r="N31" s="11"/>
      <c r="O31" s="11"/>
      <c r="P31" s="47">
        <v>14000</v>
      </c>
      <c r="Q31" s="47">
        <f t="shared" si="1"/>
        <v>14000</v>
      </c>
    </row>
    <row r="32" spans="1:17" ht="28.5">
      <c r="A32" s="14">
        <v>25</v>
      </c>
      <c r="B32" s="13" t="s">
        <v>28</v>
      </c>
      <c r="C32" s="39"/>
      <c r="D32" s="6">
        <v>2502000003</v>
      </c>
      <c r="E32" s="6" t="s">
        <v>83</v>
      </c>
      <c r="F32" s="6" t="s">
        <v>84</v>
      </c>
      <c r="G32" s="6" t="s">
        <v>58</v>
      </c>
      <c r="H32" s="9" t="s">
        <v>27</v>
      </c>
      <c r="I32" s="9">
        <v>3</v>
      </c>
      <c r="J32" s="9">
        <v>1</v>
      </c>
      <c r="K32" s="10"/>
      <c r="L32" s="10"/>
      <c r="M32" s="9">
        <f t="shared" si="0"/>
        <v>3</v>
      </c>
      <c r="N32" s="11"/>
      <c r="O32" s="11"/>
      <c r="P32" s="47">
        <v>600</v>
      </c>
      <c r="Q32" s="47">
        <f t="shared" si="1"/>
        <v>1800</v>
      </c>
    </row>
    <row r="33" spans="1:17" ht="28.5">
      <c r="A33" s="14">
        <v>26</v>
      </c>
      <c r="B33" s="13" t="s">
        <v>28</v>
      </c>
      <c r="C33" s="31" t="s">
        <v>85</v>
      </c>
      <c r="D33" s="6">
        <v>4202000029</v>
      </c>
      <c r="E33" s="6" t="s">
        <v>31</v>
      </c>
      <c r="F33" s="6" t="s">
        <v>32</v>
      </c>
      <c r="G33" s="6" t="s">
        <v>33</v>
      </c>
      <c r="H33" s="9" t="s">
        <v>27</v>
      </c>
      <c r="I33" s="9">
        <v>1</v>
      </c>
      <c r="J33" s="9">
        <v>1</v>
      </c>
      <c r="K33" s="10"/>
      <c r="L33" s="10"/>
      <c r="M33" s="9">
        <f t="shared" si="0"/>
        <v>1</v>
      </c>
      <c r="N33" s="11"/>
      <c r="O33" s="11"/>
      <c r="P33" s="47">
        <v>45</v>
      </c>
      <c r="Q33" s="47">
        <f t="shared" si="1"/>
        <v>45</v>
      </c>
    </row>
    <row r="34" spans="1:17" ht="28.5">
      <c r="A34" s="14">
        <v>27</v>
      </c>
      <c r="B34" s="13" t="s">
        <v>28</v>
      </c>
      <c r="C34" s="32"/>
      <c r="D34" s="6">
        <v>3001000116</v>
      </c>
      <c r="E34" s="6" t="s">
        <v>23</v>
      </c>
      <c r="F34" s="6" t="s">
        <v>43</v>
      </c>
      <c r="G34" s="6" t="s">
        <v>33</v>
      </c>
      <c r="H34" s="9" t="s">
        <v>27</v>
      </c>
      <c r="I34" s="9">
        <v>1</v>
      </c>
      <c r="J34" s="9">
        <v>1</v>
      </c>
      <c r="K34" s="10"/>
      <c r="L34" s="10"/>
      <c r="M34" s="9">
        <f t="shared" si="0"/>
        <v>1</v>
      </c>
      <c r="N34" s="11"/>
      <c r="O34" s="11"/>
      <c r="P34" s="47">
        <v>60</v>
      </c>
      <c r="Q34" s="47">
        <f t="shared" si="1"/>
        <v>60</v>
      </c>
    </row>
    <row r="35" spans="1:17" ht="28.5">
      <c r="A35" s="14">
        <v>28</v>
      </c>
      <c r="B35" s="13" t="s">
        <v>28</v>
      </c>
      <c r="C35" s="32"/>
      <c r="D35" s="12">
        <v>4000000021</v>
      </c>
      <c r="E35" s="12" t="s">
        <v>56</v>
      </c>
      <c r="F35" s="12" t="s">
        <v>59</v>
      </c>
      <c r="G35" s="12" t="s">
        <v>58</v>
      </c>
      <c r="H35" s="9" t="s">
        <v>27</v>
      </c>
      <c r="I35" s="9">
        <v>1</v>
      </c>
      <c r="J35" s="9">
        <v>1</v>
      </c>
      <c r="K35" s="10"/>
      <c r="L35" s="10"/>
      <c r="M35" s="9">
        <f t="shared" si="0"/>
        <v>1</v>
      </c>
      <c r="N35" s="11"/>
      <c r="O35" s="11"/>
      <c r="P35" s="47">
        <v>900</v>
      </c>
      <c r="Q35" s="47">
        <f t="shared" si="1"/>
        <v>900</v>
      </c>
    </row>
    <row r="36" spans="1:17" ht="28.5">
      <c r="A36" s="14">
        <v>29</v>
      </c>
      <c r="B36" s="13" t="s">
        <v>28</v>
      </c>
      <c r="C36" s="32"/>
      <c r="D36" s="12">
        <v>4100000123</v>
      </c>
      <c r="E36" s="12" t="s">
        <v>77</v>
      </c>
      <c r="F36" s="12" t="s">
        <v>78</v>
      </c>
      <c r="G36" s="12" t="s">
        <v>72</v>
      </c>
      <c r="H36" s="9" t="s">
        <v>27</v>
      </c>
      <c r="I36" s="9">
        <v>1</v>
      </c>
      <c r="J36" s="9">
        <v>1</v>
      </c>
      <c r="K36" s="10"/>
      <c r="L36" s="10"/>
      <c r="M36" s="9">
        <f t="shared" si="0"/>
        <v>1</v>
      </c>
      <c r="N36" s="11"/>
      <c r="O36" s="11"/>
      <c r="P36" s="47">
        <v>450</v>
      </c>
      <c r="Q36" s="47">
        <f t="shared" si="1"/>
        <v>450</v>
      </c>
    </row>
    <row r="37" spans="1:17" ht="28.5">
      <c r="A37" s="14">
        <v>30</v>
      </c>
      <c r="B37" s="13" t="s">
        <v>28</v>
      </c>
      <c r="C37" s="32"/>
      <c r="D37" s="12">
        <v>4201000046</v>
      </c>
      <c r="E37" s="12" t="s">
        <v>65</v>
      </c>
      <c r="F37" s="12" t="s">
        <v>86</v>
      </c>
      <c r="G37" s="12" t="s">
        <v>67</v>
      </c>
      <c r="H37" s="9" t="s">
        <v>27</v>
      </c>
      <c r="I37" s="9">
        <v>1</v>
      </c>
      <c r="J37" s="9">
        <v>1</v>
      </c>
      <c r="K37" s="10"/>
      <c r="L37" s="10"/>
      <c r="M37" s="9">
        <f t="shared" si="0"/>
        <v>1</v>
      </c>
      <c r="N37" s="11"/>
      <c r="O37" s="11"/>
      <c r="P37" s="47">
        <v>250</v>
      </c>
      <c r="Q37" s="47">
        <f t="shared" si="1"/>
        <v>250</v>
      </c>
    </row>
    <row r="38" spans="1:17" ht="28.5">
      <c r="A38" s="14">
        <v>31</v>
      </c>
      <c r="B38" s="13" t="s">
        <v>28</v>
      </c>
      <c r="C38" s="33"/>
      <c r="D38" s="6">
        <v>4202000018</v>
      </c>
      <c r="E38" s="6" t="s">
        <v>40</v>
      </c>
      <c r="F38" s="6" t="s">
        <v>41</v>
      </c>
      <c r="G38" s="6" t="s">
        <v>67</v>
      </c>
      <c r="H38" s="9" t="s">
        <v>27</v>
      </c>
      <c r="I38" s="9">
        <v>1</v>
      </c>
      <c r="J38" s="9">
        <v>1</v>
      </c>
      <c r="K38" s="10"/>
      <c r="L38" s="10"/>
      <c r="M38" s="9">
        <f t="shared" si="0"/>
        <v>1</v>
      </c>
      <c r="N38" s="11"/>
      <c r="O38" s="11"/>
      <c r="P38" s="47">
        <v>10</v>
      </c>
      <c r="Q38" s="47">
        <f t="shared" si="1"/>
        <v>10</v>
      </c>
    </row>
    <row r="39" spans="1:17" ht="28.5">
      <c r="A39" s="14">
        <v>32</v>
      </c>
      <c r="B39" s="13" t="s">
        <v>28</v>
      </c>
      <c r="C39" s="31" t="s">
        <v>87</v>
      </c>
      <c r="D39" s="6">
        <v>4202000029</v>
      </c>
      <c r="E39" s="6" t="s">
        <v>31</v>
      </c>
      <c r="F39" s="6" t="s">
        <v>32</v>
      </c>
      <c r="G39" s="6" t="s">
        <v>33</v>
      </c>
      <c r="H39" s="9" t="s">
        <v>27</v>
      </c>
      <c r="I39" s="9">
        <v>2</v>
      </c>
      <c r="J39" s="9">
        <v>1</v>
      </c>
      <c r="K39" s="10"/>
      <c r="L39" s="10"/>
      <c r="M39" s="9">
        <f t="shared" si="0"/>
        <v>2</v>
      </c>
      <c r="N39" s="11"/>
      <c r="O39" s="11"/>
      <c r="P39" s="47">
        <v>45</v>
      </c>
      <c r="Q39" s="47">
        <f t="shared" si="1"/>
        <v>90</v>
      </c>
    </row>
    <row r="40" spans="1:17" ht="28.5">
      <c r="A40" s="14">
        <v>33</v>
      </c>
      <c r="B40" s="13" t="s">
        <v>28</v>
      </c>
      <c r="C40" s="32"/>
      <c r="D40" s="6">
        <v>3001000116</v>
      </c>
      <c r="E40" s="6" t="s">
        <v>23</v>
      </c>
      <c r="F40" s="6" t="s">
        <v>43</v>
      </c>
      <c r="G40" s="6" t="s">
        <v>33</v>
      </c>
      <c r="H40" s="9" t="s">
        <v>27</v>
      </c>
      <c r="I40" s="9">
        <v>2</v>
      </c>
      <c r="J40" s="9">
        <v>1</v>
      </c>
      <c r="K40" s="10"/>
      <c r="L40" s="10"/>
      <c r="M40" s="9">
        <f t="shared" si="0"/>
        <v>2</v>
      </c>
      <c r="N40" s="11"/>
      <c r="O40" s="11"/>
      <c r="P40" s="47">
        <v>60</v>
      </c>
      <c r="Q40" s="47">
        <f t="shared" si="1"/>
        <v>120</v>
      </c>
    </row>
    <row r="41" spans="1:17" ht="28.5">
      <c r="A41" s="14">
        <v>34</v>
      </c>
      <c r="B41" s="13" t="s">
        <v>28</v>
      </c>
      <c r="C41" s="32"/>
      <c r="D41" s="12">
        <v>4000000019</v>
      </c>
      <c r="E41" s="12" t="s">
        <v>55</v>
      </c>
      <c r="F41" s="12" t="s">
        <v>24</v>
      </c>
      <c r="G41" s="12" t="s">
        <v>57</v>
      </c>
      <c r="H41" s="9" t="s">
        <v>27</v>
      </c>
      <c r="I41" s="9">
        <v>2</v>
      </c>
      <c r="J41" s="9">
        <v>1</v>
      </c>
      <c r="K41" s="10"/>
      <c r="L41" s="10"/>
      <c r="M41" s="9">
        <f t="shared" si="0"/>
        <v>2</v>
      </c>
      <c r="N41" s="11"/>
      <c r="O41" s="11"/>
      <c r="P41" s="47">
        <v>1350</v>
      </c>
      <c r="Q41" s="47">
        <f t="shared" si="1"/>
        <v>2700</v>
      </c>
    </row>
    <row r="42" spans="1:17" ht="28.5">
      <c r="A42" s="14">
        <v>35</v>
      </c>
      <c r="B42" s="13" t="s">
        <v>28</v>
      </c>
      <c r="C42" s="32"/>
      <c r="D42" s="12">
        <v>4100000063</v>
      </c>
      <c r="E42" s="12" t="s">
        <v>77</v>
      </c>
      <c r="F42" s="12" t="s">
        <v>42</v>
      </c>
      <c r="G42" s="12" t="s">
        <v>60</v>
      </c>
      <c r="H42" s="9" t="s">
        <v>27</v>
      </c>
      <c r="I42" s="9">
        <v>2</v>
      </c>
      <c r="J42" s="9">
        <v>1</v>
      </c>
      <c r="K42" s="10"/>
      <c r="L42" s="10"/>
      <c r="M42" s="9">
        <f t="shared" si="0"/>
        <v>2</v>
      </c>
      <c r="N42" s="11"/>
      <c r="O42" s="11"/>
      <c r="P42" s="47">
        <v>450</v>
      </c>
      <c r="Q42" s="47">
        <f t="shared" si="1"/>
        <v>900</v>
      </c>
    </row>
    <row r="43" spans="1:17" ht="28.5">
      <c r="A43" s="14">
        <v>36</v>
      </c>
      <c r="B43" s="13" t="s">
        <v>28</v>
      </c>
      <c r="C43" s="32"/>
      <c r="D43" s="12">
        <v>4201000180</v>
      </c>
      <c r="E43" s="12" t="s">
        <v>65</v>
      </c>
      <c r="F43" s="12" t="s">
        <v>30</v>
      </c>
      <c r="G43" s="12" t="s">
        <v>67</v>
      </c>
      <c r="H43" s="9" t="s">
        <v>27</v>
      </c>
      <c r="I43" s="9">
        <v>1</v>
      </c>
      <c r="J43" s="9">
        <v>1</v>
      </c>
      <c r="K43" s="10"/>
      <c r="L43" s="10"/>
      <c r="M43" s="9">
        <f t="shared" si="0"/>
        <v>1</v>
      </c>
      <c r="N43" s="11"/>
      <c r="O43" s="11"/>
      <c r="P43" s="47">
        <v>365</v>
      </c>
      <c r="Q43" s="47">
        <f t="shared" si="1"/>
        <v>365</v>
      </c>
    </row>
    <row r="44" spans="1:17" ht="28.5">
      <c r="A44" s="14">
        <v>37</v>
      </c>
      <c r="B44" s="13" t="s">
        <v>28</v>
      </c>
      <c r="C44" s="33"/>
      <c r="D44" s="6">
        <v>4202000018</v>
      </c>
      <c r="E44" s="6" t="s">
        <v>40</v>
      </c>
      <c r="F44" s="6" t="s">
        <v>41</v>
      </c>
      <c r="G44" s="6" t="s">
        <v>67</v>
      </c>
      <c r="H44" s="9" t="s">
        <v>27</v>
      </c>
      <c r="I44" s="9">
        <v>1</v>
      </c>
      <c r="J44" s="9">
        <v>1</v>
      </c>
      <c r="K44" s="10"/>
      <c r="L44" s="10"/>
      <c r="M44" s="9">
        <f t="shared" si="0"/>
        <v>1</v>
      </c>
      <c r="N44" s="11"/>
      <c r="O44" s="11"/>
      <c r="P44" s="47">
        <v>10</v>
      </c>
      <c r="Q44" s="47">
        <f t="shared" si="1"/>
        <v>10</v>
      </c>
    </row>
    <row r="45" spans="1:17" ht="28.5">
      <c r="A45" s="14">
        <v>38</v>
      </c>
      <c r="B45" s="13" t="s">
        <v>28</v>
      </c>
      <c r="C45" s="31" t="s">
        <v>88</v>
      </c>
      <c r="D45" s="6">
        <v>4202000029</v>
      </c>
      <c r="E45" s="6" t="s">
        <v>31</v>
      </c>
      <c r="F45" s="6" t="s">
        <v>32</v>
      </c>
      <c r="G45" s="6" t="s">
        <v>33</v>
      </c>
      <c r="H45" s="9" t="s">
        <v>27</v>
      </c>
      <c r="I45" s="9">
        <v>2</v>
      </c>
      <c r="J45" s="9">
        <v>1</v>
      </c>
      <c r="K45" s="10"/>
      <c r="L45" s="10"/>
      <c r="M45" s="9">
        <f t="shared" si="0"/>
        <v>2</v>
      </c>
      <c r="N45" s="11"/>
      <c r="O45" s="11"/>
      <c r="P45" s="47">
        <v>45</v>
      </c>
      <c r="Q45" s="47">
        <f t="shared" si="1"/>
        <v>90</v>
      </c>
    </row>
    <row r="46" spans="1:17" ht="28.5">
      <c r="A46" s="14">
        <v>39</v>
      </c>
      <c r="B46" s="13" t="s">
        <v>28</v>
      </c>
      <c r="C46" s="32"/>
      <c r="D46" s="6">
        <v>3001000116</v>
      </c>
      <c r="E46" s="6" t="s">
        <v>23</v>
      </c>
      <c r="F46" s="6" t="s">
        <v>43</v>
      </c>
      <c r="G46" s="6" t="s">
        <v>33</v>
      </c>
      <c r="H46" s="9" t="s">
        <v>27</v>
      </c>
      <c r="I46" s="9">
        <v>2</v>
      </c>
      <c r="J46" s="9">
        <v>1</v>
      </c>
      <c r="K46" s="10"/>
      <c r="L46" s="10"/>
      <c r="M46" s="9">
        <f t="shared" si="0"/>
        <v>2</v>
      </c>
      <c r="N46" s="11"/>
      <c r="O46" s="11"/>
      <c r="P46" s="47">
        <v>60</v>
      </c>
      <c r="Q46" s="47">
        <f t="shared" si="1"/>
        <v>120</v>
      </c>
    </row>
    <row r="47" spans="1:17" ht="28.5">
      <c r="A47" s="14">
        <v>40</v>
      </c>
      <c r="B47" s="13" t="s">
        <v>28</v>
      </c>
      <c r="C47" s="32"/>
      <c r="D47" s="12">
        <v>4000000019</v>
      </c>
      <c r="E47" s="12" t="s">
        <v>55</v>
      </c>
      <c r="F47" s="12" t="s">
        <v>24</v>
      </c>
      <c r="G47" s="12" t="s">
        <v>57</v>
      </c>
      <c r="H47" s="9" t="s">
        <v>27</v>
      </c>
      <c r="I47" s="9">
        <v>2</v>
      </c>
      <c r="J47" s="9">
        <v>1</v>
      </c>
      <c r="K47" s="10"/>
      <c r="L47" s="10"/>
      <c r="M47" s="9">
        <f t="shared" si="0"/>
        <v>2</v>
      </c>
      <c r="N47" s="11"/>
      <c r="O47" s="11"/>
      <c r="P47" s="47">
        <v>1350</v>
      </c>
      <c r="Q47" s="47">
        <f t="shared" si="1"/>
        <v>2700</v>
      </c>
    </row>
    <row r="48" spans="1:17" ht="28.5">
      <c r="A48" s="14">
        <v>41</v>
      </c>
      <c r="B48" s="13" t="s">
        <v>28</v>
      </c>
      <c r="C48" s="32"/>
      <c r="D48" s="12">
        <v>4100000063</v>
      </c>
      <c r="E48" s="12" t="s">
        <v>77</v>
      </c>
      <c r="F48" s="12" t="s">
        <v>42</v>
      </c>
      <c r="G48" s="12" t="s">
        <v>60</v>
      </c>
      <c r="H48" s="9" t="s">
        <v>27</v>
      </c>
      <c r="I48" s="9">
        <v>2</v>
      </c>
      <c r="J48" s="9">
        <v>1</v>
      </c>
      <c r="K48" s="10"/>
      <c r="L48" s="10"/>
      <c r="M48" s="9">
        <f t="shared" si="0"/>
        <v>2</v>
      </c>
      <c r="N48" s="11"/>
      <c r="O48" s="11"/>
      <c r="P48" s="47">
        <v>450</v>
      </c>
      <c r="Q48" s="47">
        <f t="shared" si="1"/>
        <v>900</v>
      </c>
    </row>
    <row r="49" spans="1:17" ht="28.5">
      <c r="A49" s="14">
        <v>42</v>
      </c>
      <c r="B49" s="13" t="s">
        <v>28</v>
      </c>
      <c r="C49" s="32"/>
      <c r="D49" s="12">
        <v>4201000180</v>
      </c>
      <c r="E49" s="12" t="s">
        <v>65</v>
      </c>
      <c r="F49" s="12" t="s">
        <v>30</v>
      </c>
      <c r="G49" s="12" t="s">
        <v>67</v>
      </c>
      <c r="H49" s="9" t="s">
        <v>27</v>
      </c>
      <c r="I49" s="9">
        <v>1</v>
      </c>
      <c r="J49" s="9">
        <v>1</v>
      </c>
      <c r="K49" s="10"/>
      <c r="L49" s="10"/>
      <c r="M49" s="9">
        <f t="shared" si="0"/>
        <v>1</v>
      </c>
      <c r="N49" s="11"/>
      <c r="O49" s="11"/>
      <c r="P49" s="47">
        <v>365</v>
      </c>
      <c r="Q49" s="47">
        <f t="shared" si="1"/>
        <v>365</v>
      </c>
    </row>
    <row r="50" spans="1:17" ht="28.5">
      <c r="A50" s="14">
        <v>43</v>
      </c>
      <c r="B50" s="13" t="s">
        <v>28</v>
      </c>
      <c r="C50" s="32"/>
      <c r="D50" s="12">
        <v>4201000255</v>
      </c>
      <c r="E50" s="12" t="s">
        <v>89</v>
      </c>
      <c r="F50" s="12" t="s">
        <v>90</v>
      </c>
      <c r="G50" s="12" t="s">
        <v>67</v>
      </c>
      <c r="H50" s="9" t="s">
        <v>27</v>
      </c>
      <c r="I50" s="9">
        <v>1</v>
      </c>
      <c r="J50" s="9">
        <v>1</v>
      </c>
      <c r="K50" s="10"/>
      <c r="L50" s="10"/>
      <c r="M50" s="9">
        <f t="shared" ref="M50" si="3">J50*I50</f>
        <v>1</v>
      </c>
      <c r="N50" s="11"/>
      <c r="O50" s="11"/>
      <c r="P50" s="47">
        <v>345</v>
      </c>
      <c r="Q50" s="47">
        <f t="shared" si="1"/>
        <v>345</v>
      </c>
    </row>
    <row r="51" spans="1:17" ht="28.5">
      <c r="A51" s="14">
        <v>44</v>
      </c>
      <c r="B51" s="13" t="s">
        <v>28</v>
      </c>
      <c r="C51" s="33"/>
      <c r="D51" s="6">
        <v>4202000018</v>
      </c>
      <c r="E51" s="6" t="s">
        <v>40</v>
      </c>
      <c r="F51" s="6" t="s">
        <v>41</v>
      </c>
      <c r="G51" s="6" t="s">
        <v>67</v>
      </c>
      <c r="H51" s="9" t="s">
        <v>27</v>
      </c>
      <c r="I51" s="9">
        <v>2</v>
      </c>
      <c r="J51" s="9">
        <v>1</v>
      </c>
      <c r="K51" s="10"/>
      <c r="L51" s="10"/>
      <c r="M51" s="9">
        <f t="shared" si="0"/>
        <v>2</v>
      </c>
      <c r="N51" s="11"/>
      <c r="O51" s="11"/>
      <c r="P51" s="47">
        <v>10</v>
      </c>
      <c r="Q51" s="47">
        <f t="shared" si="1"/>
        <v>20</v>
      </c>
    </row>
    <row r="52" spans="1:17" ht="28.5">
      <c r="A52" s="14">
        <v>45</v>
      </c>
      <c r="B52" s="13" t="s">
        <v>28</v>
      </c>
      <c r="C52" s="31" t="s">
        <v>91</v>
      </c>
      <c r="D52" s="6">
        <v>4202000029</v>
      </c>
      <c r="E52" s="6" t="s">
        <v>31</v>
      </c>
      <c r="F52" s="6" t="s">
        <v>32</v>
      </c>
      <c r="G52" s="6" t="s">
        <v>33</v>
      </c>
      <c r="H52" s="9" t="s">
        <v>27</v>
      </c>
      <c r="I52" s="9">
        <v>4</v>
      </c>
      <c r="J52" s="9">
        <v>1</v>
      </c>
      <c r="K52" s="10"/>
      <c r="L52" s="10"/>
      <c r="M52" s="9">
        <f t="shared" si="0"/>
        <v>4</v>
      </c>
      <c r="N52" s="11"/>
      <c r="O52" s="11"/>
      <c r="P52" s="47">
        <v>45</v>
      </c>
      <c r="Q52" s="47">
        <f t="shared" si="1"/>
        <v>180</v>
      </c>
    </row>
    <row r="53" spans="1:17" ht="28.5">
      <c r="A53" s="14">
        <v>46</v>
      </c>
      <c r="B53" s="13" t="s">
        <v>28</v>
      </c>
      <c r="C53" s="32"/>
      <c r="D53" s="6">
        <v>3001000113</v>
      </c>
      <c r="E53" s="6" t="s">
        <v>23</v>
      </c>
      <c r="F53" s="6" t="s">
        <v>44</v>
      </c>
      <c r="G53" s="6" t="s">
        <v>33</v>
      </c>
      <c r="H53" s="9" t="s">
        <v>27</v>
      </c>
      <c r="I53" s="9">
        <v>4</v>
      </c>
      <c r="J53" s="9">
        <v>1</v>
      </c>
      <c r="K53" s="10"/>
      <c r="L53" s="10"/>
      <c r="M53" s="9">
        <f t="shared" si="0"/>
        <v>4</v>
      </c>
      <c r="N53" s="11"/>
      <c r="O53" s="11"/>
      <c r="P53" s="47">
        <v>120</v>
      </c>
      <c r="Q53" s="47">
        <f t="shared" si="1"/>
        <v>480</v>
      </c>
    </row>
    <row r="54" spans="1:17" ht="28.5">
      <c r="A54" s="14">
        <v>47</v>
      </c>
      <c r="B54" s="13" t="s">
        <v>28</v>
      </c>
      <c r="C54" s="32"/>
      <c r="D54" s="12">
        <v>4000000021</v>
      </c>
      <c r="E54" s="12" t="s">
        <v>56</v>
      </c>
      <c r="F54" s="12" t="s">
        <v>59</v>
      </c>
      <c r="G54" s="12" t="s">
        <v>58</v>
      </c>
      <c r="H54" s="9" t="s">
        <v>27</v>
      </c>
      <c r="I54" s="9">
        <v>4</v>
      </c>
      <c r="J54" s="9">
        <v>1</v>
      </c>
      <c r="K54" s="10"/>
      <c r="L54" s="10"/>
      <c r="M54" s="9">
        <f t="shared" si="0"/>
        <v>4</v>
      </c>
      <c r="N54" s="11"/>
      <c r="O54" s="11"/>
      <c r="P54" s="47">
        <v>900</v>
      </c>
      <c r="Q54" s="47">
        <f t="shared" si="1"/>
        <v>3600</v>
      </c>
    </row>
    <row r="55" spans="1:17" ht="28.5">
      <c r="A55" s="14">
        <v>48</v>
      </c>
      <c r="B55" s="13" t="s">
        <v>28</v>
      </c>
      <c r="C55" s="32"/>
      <c r="D55" s="12">
        <v>4100000192</v>
      </c>
      <c r="E55" s="12" t="s">
        <v>73</v>
      </c>
      <c r="F55" s="12" t="s">
        <v>74</v>
      </c>
      <c r="G55" s="12" t="s">
        <v>75</v>
      </c>
      <c r="H55" s="9" t="s">
        <v>27</v>
      </c>
      <c r="I55" s="9">
        <v>4</v>
      </c>
      <c r="J55" s="9">
        <v>1</v>
      </c>
      <c r="K55" s="10"/>
      <c r="L55" s="10"/>
      <c r="M55" s="9">
        <f t="shared" si="0"/>
        <v>4</v>
      </c>
      <c r="N55" s="11"/>
      <c r="O55" s="11"/>
      <c r="P55" s="47">
        <v>780</v>
      </c>
      <c r="Q55" s="47">
        <f t="shared" si="1"/>
        <v>3120</v>
      </c>
    </row>
    <row r="56" spans="1:17" ht="28.5">
      <c r="A56" s="14">
        <v>49</v>
      </c>
      <c r="B56" s="13" t="s">
        <v>28</v>
      </c>
      <c r="C56" s="32"/>
      <c r="D56" s="12">
        <v>4201000180</v>
      </c>
      <c r="E56" s="12" t="s">
        <v>65</v>
      </c>
      <c r="F56" s="12" t="s">
        <v>30</v>
      </c>
      <c r="G56" s="12" t="s">
        <v>67</v>
      </c>
      <c r="H56" s="9" t="s">
        <v>27</v>
      </c>
      <c r="I56" s="9">
        <v>2</v>
      </c>
      <c r="J56" s="9">
        <v>1</v>
      </c>
      <c r="K56" s="10"/>
      <c r="L56" s="10"/>
      <c r="M56" s="9">
        <f t="shared" si="0"/>
        <v>2</v>
      </c>
      <c r="N56" s="11"/>
      <c r="O56" s="11"/>
      <c r="P56" s="47">
        <v>365</v>
      </c>
      <c r="Q56" s="47">
        <f t="shared" si="1"/>
        <v>730</v>
      </c>
    </row>
    <row r="57" spans="1:17" ht="28.5">
      <c r="A57" s="14">
        <v>50</v>
      </c>
      <c r="B57" s="13" t="s">
        <v>28</v>
      </c>
      <c r="C57" s="33"/>
      <c r="D57" s="6">
        <v>4202000017</v>
      </c>
      <c r="E57" s="6" t="s">
        <v>69</v>
      </c>
      <c r="F57" s="6" t="s">
        <v>68</v>
      </c>
      <c r="G57" s="6" t="s">
        <v>67</v>
      </c>
      <c r="H57" s="9" t="s">
        <v>27</v>
      </c>
      <c r="I57" s="9">
        <v>2</v>
      </c>
      <c r="J57" s="9">
        <v>1</v>
      </c>
      <c r="K57" s="10"/>
      <c r="L57" s="10"/>
      <c r="M57" s="9">
        <f t="shared" si="0"/>
        <v>2</v>
      </c>
      <c r="N57" s="11"/>
      <c r="O57" s="11"/>
      <c r="P57" s="47">
        <v>10</v>
      </c>
      <c r="Q57" s="47">
        <f t="shared" si="1"/>
        <v>20</v>
      </c>
    </row>
    <row r="58" spans="1:17" ht="28.5">
      <c r="A58" s="14">
        <v>51</v>
      </c>
      <c r="B58" s="13" t="s">
        <v>28</v>
      </c>
      <c r="C58" s="27" t="s">
        <v>29</v>
      </c>
      <c r="D58" s="12">
        <v>4202000010</v>
      </c>
      <c r="E58" s="12" t="s">
        <v>96</v>
      </c>
      <c r="F58" s="12" t="s">
        <v>97</v>
      </c>
      <c r="G58" s="12" t="s">
        <v>64</v>
      </c>
      <c r="H58" s="9" t="s">
        <v>27</v>
      </c>
      <c r="I58" s="9">
        <v>1</v>
      </c>
      <c r="J58" s="9">
        <v>1</v>
      </c>
      <c r="K58" s="10"/>
      <c r="L58" s="10"/>
      <c r="M58" s="9">
        <f>J58*I58</f>
        <v>1</v>
      </c>
      <c r="N58" s="11"/>
      <c r="O58" s="11"/>
      <c r="P58" s="47">
        <v>980</v>
      </c>
      <c r="Q58" s="47">
        <f t="shared" si="1"/>
        <v>980</v>
      </c>
    </row>
    <row r="59" spans="1:17" ht="28.5">
      <c r="A59" s="14">
        <v>52</v>
      </c>
      <c r="B59" s="13" t="s">
        <v>28</v>
      </c>
      <c r="C59" s="28"/>
      <c r="D59" s="12">
        <v>2004020003</v>
      </c>
      <c r="E59" s="12" t="s">
        <v>79</v>
      </c>
      <c r="F59" s="12" t="s">
        <v>80</v>
      </c>
      <c r="G59" s="12" t="s">
        <v>81</v>
      </c>
      <c r="H59" s="9" t="s">
        <v>27</v>
      </c>
      <c r="I59" s="9">
        <v>1</v>
      </c>
      <c r="J59" s="9">
        <v>1</v>
      </c>
      <c r="K59" s="10"/>
      <c r="L59" s="10"/>
      <c r="M59" s="9">
        <f t="shared" si="0"/>
        <v>1</v>
      </c>
      <c r="N59" s="11"/>
      <c r="O59" s="11"/>
      <c r="P59" s="47">
        <v>700</v>
      </c>
      <c r="Q59" s="47">
        <f t="shared" si="1"/>
        <v>700</v>
      </c>
    </row>
    <row r="60" spans="1:17" ht="28.5">
      <c r="A60" s="14">
        <v>53</v>
      </c>
      <c r="B60" s="13" t="s">
        <v>28</v>
      </c>
      <c r="C60" s="28"/>
      <c r="D60" s="6">
        <v>2004020007</v>
      </c>
      <c r="E60" s="6" t="s">
        <v>49</v>
      </c>
      <c r="F60" s="6" t="s">
        <v>50</v>
      </c>
      <c r="G60" s="6" t="s">
        <v>34</v>
      </c>
      <c r="H60" s="9" t="s">
        <v>27</v>
      </c>
      <c r="I60" s="9">
        <v>1</v>
      </c>
      <c r="J60" s="9">
        <v>1</v>
      </c>
      <c r="K60" s="10"/>
      <c r="L60" s="10"/>
      <c r="M60" s="9">
        <f t="shared" si="0"/>
        <v>1</v>
      </c>
      <c r="N60" s="11"/>
      <c r="O60" s="11"/>
      <c r="P60" s="47">
        <v>40</v>
      </c>
      <c r="Q60" s="47">
        <f t="shared" si="1"/>
        <v>40</v>
      </c>
    </row>
    <row r="61" spans="1:17" ht="28.5">
      <c r="A61" s="14">
        <v>54</v>
      </c>
      <c r="B61" s="13" t="s">
        <v>28</v>
      </c>
      <c r="C61" s="28"/>
      <c r="D61" s="6">
        <v>3001000043</v>
      </c>
      <c r="E61" s="6" t="s">
        <v>51</v>
      </c>
      <c r="F61" s="6" t="s">
        <v>35</v>
      </c>
      <c r="G61" s="6" t="s">
        <v>25</v>
      </c>
      <c r="H61" s="9" t="s">
        <v>27</v>
      </c>
      <c r="I61" s="9">
        <v>1</v>
      </c>
      <c r="J61" s="9">
        <v>1</v>
      </c>
      <c r="K61" s="10"/>
      <c r="L61" s="10"/>
      <c r="M61" s="9">
        <f t="shared" si="0"/>
        <v>1</v>
      </c>
      <c r="N61" s="11"/>
      <c r="O61" s="11"/>
      <c r="P61" s="47">
        <v>140</v>
      </c>
      <c r="Q61" s="47">
        <f t="shared" si="1"/>
        <v>140</v>
      </c>
    </row>
    <row r="62" spans="1:17" ht="28.5">
      <c r="A62" s="14">
        <v>55</v>
      </c>
      <c r="B62" s="13" t="s">
        <v>28</v>
      </c>
      <c r="C62" s="28"/>
      <c r="D62" s="6">
        <v>3001000042</v>
      </c>
      <c r="E62" s="6" t="s">
        <v>52</v>
      </c>
      <c r="F62" s="6" t="s">
        <v>36</v>
      </c>
      <c r="G62" s="6" t="s">
        <v>25</v>
      </c>
      <c r="H62" s="9" t="s">
        <v>27</v>
      </c>
      <c r="I62" s="9">
        <v>2</v>
      </c>
      <c r="J62" s="9">
        <v>1</v>
      </c>
      <c r="K62" s="10"/>
      <c r="L62" s="10"/>
      <c r="M62" s="9">
        <f t="shared" si="0"/>
        <v>2</v>
      </c>
      <c r="N62" s="11"/>
      <c r="O62" s="11"/>
      <c r="P62" s="47">
        <v>80</v>
      </c>
      <c r="Q62" s="47">
        <f t="shared" si="1"/>
        <v>160</v>
      </c>
    </row>
    <row r="63" spans="1:17" ht="28.5">
      <c r="A63" s="14">
        <v>56</v>
      </c>
      <c r="B63" s="13" t="s">
        <v>28</v>
      </c>
      <c r="C63" s="28"/>
      <c r="D63" s="12">
        <v>2004030003</v>
      </c>
      <c r="E63" s="12" t="s">
        <v>45</v>
      </c>
      <c r="F63" s="12" t="s">
        <v>46</v>
      </c>
      <c r="G63" s="12" t="s">
        <v>26</v>
      </c>
      <c r="H63" s="9" t="s">
        <v>27</v>
      </c>
      <c r="I63" s="9">
        <v>1</v>
      </c>
      <c r="J63" s="9">
        <v>1</v>
      </c>
      <c r="K63" s="10"/>
      <c r="L63" s="10"/>
      <c r="M63" s="9">
        <f t="shared" si="0"/>
        <v>1</v>
      </c>
      <c r="N63" s="11"/>
      <c r="O63" s="11"/>
      <c r="P63" s="47">
        <v>130</v>
      </c>
      <c r="Q63" s="47">
        <f t="shared" si="1"/>
        <v>130</v>
      </c>
    </row>
    <row r="64" spans="1:17">
      <c r="A64" s="14"/>
      <c r="B64" s="13"/>
      <c r="C64" s="28"/>
      <c r="D64" s="18">
        <v>4400000069</v>
      </c>
      <c r="E64" s="19" t="s">
        <v>98</v>
      </c>
      <c r="F64" s="19" t="s">
        <v>99</v>
      </c>
      <c r="G64" s="19" t="s">
        <v>100</v>
      </c>
      <c r="H64" s="9" t="s">
        <v>27</v>
      </c>
      <c r="I64" s="9">
        <v>1</v>
      </c>
      <c r="J64" s="9">
        <v>1</v>
      </c>
      <c r="K64" s="10"/>
      <c r="L64" s="10"/>
      <c r="M64" s="9">
        <f t="shared" si="0"/>
        <v>1</v>
      </c>
      <c r="N64" s="11"/>
      <c r="O64" s="11"/>
      <c r="P64" s="47">
        <v>700</v>
      </c>
      <c r="Q64" s="47">
        <f t="shared" si="1"/>
        <v>700</v>
      </c>
    </row>
    <row r="65" spans="1:17" ht="18.75">
      <c r="A65" s="14"/>
      <c r="B65" s="13"/>
      <c r="C65" s="28"/>
      <c r="D65" s="23">
        <v>4202000131</v>
      </c>
      <c r="E65" s="23" t="s">
        <v>103</v>
      </c>
      <c r="F65" s="23" t="s">
        <v>104</v>
      </c>
      <c r="G65" s="23" t="s">
        <v>100</v>
      </c>
      <c r="H65" s="9" t="s">
        <v>27</v>
      </c>
      <c r="I65" s="9">
        <v>1</v>
      </c>
      <c r="J65" s="9">
        <v>1</v>
      </c>
      <c r="K65" s="10"/>
      <c r="L65" s="10"/>
      <c r="M65" s="9">
        <f t="shared" si="0"/>
        <v>1</v>
      </c>
      <c r="N65" s="11"/>
      <c r="O65" s="11"/>
      <c r="P65" s="47">
        <v>200</v>
      </c>
      <c r="Q65" s="47">
        <f t="shared" si="1"/>
        <v>200</v>
      </c>
    </row>
    <row r="66" spans="1:17">
      <c r="A66" s="14"/>
      <c r="B66" s="13"/>
      <c r="C66" s="28"/>
      <c r="D66" s="20">
        <v>3101000111</v>
      </c>
      <c r="E66" s="21" t="s">
        <v>101</v>
      </c>
      <c r="F66" s="22" t="s">
        <v>102</v>
      </c>
      <c r="G66" s="22" t="s">
        <v>100</v>
      </c>
      <c r="H66" s="9" t="s">
        <v>27</v>
      </c>
      <c r="I66" s="9">
        <v>1</v>
      </c>
      <c r="J66" s="9">
        <v>1</v>
      </c>
      <c r="K66" s="10"/>
      <c r="L66" s="10"/>
      <c r="M66" s="9">
        <f t="shared" si="0"/>
        <v>1</v>
      </c>
      <c r="N66" s="11"/>
      <c r="O66" s="11"/>
      <c r="P66" s="47">
        <v>600</v>
      </c>
      <c r="Q66" s="47">
        <f t="shared" si="1"/>
        <v>600</v>
      </c>
    </row>
    <row r="67" spans="1:17" ht="75">
      <c r="A67" s="14">
        <v>57</v>
      </c>
      <c r="B67" s="13" t="s">
        <v>28</v>
      </c>
      <c r="C67" s="28"/>
      <c r="D67" s="12">
        <v>4300000170</v>
      </c>
      <c r="E67" s="12" t="s">
        <v>47</v>
      </c>
      <c r="F67" s="12" t="s">
        <v>82</v>
      </c>
      <c r="G67" s="12" t="s">
        <v>54</v>
      </c>
      <c r="H67" s="9" t="s">
        <v>27</v>
      </c>
      <c r="I67" s="9">
        <v>1</v>
      </c>
      <c r="J67" s="9">
        <v>1</v>
      </c>
      <c r="K67" s="10"/>
      <c r="L67" s="10"/>
      <c r="M67" s="9">
        <f t="shared" si="0"/>
        <v>1</v>
      </c>
      <c r="N67" s="11"/>
      <c r="O67" s="11"/>
      <c r="P67" s="47">
        <v>14000</v>
      </c>
      <c r="Q67" s="47">
        <f t="shared" si="1"/>
        <v>14000</v>
      </c>
    </row>
    <row r="68" spans="1:17" ht="28.5">
      <c r="A68" s="14">
        <v>58</v>
      </c>
      <c r="B68" s="13" t="s">
        <v>28</v>
      </c>
      <c r="C68" s="29"/>
      <c r="D68" s="6">
        <v>2502000003</v>
      </c>
      <c r="E68" s="6" t="s">
        <v>83</v>
      </c>
      <c r="F68" s="6" t="s">
        <v>84</v>
      </c>
      <c r="G68" s="6" t="s">
        <v>58</v>
      </c>
      <c r="H68" s="9" t="s">
        <v>27</v>
      </c>
      <c r="I68" s="9">
        <v>3</v>
      </c>
      <c r="J68" s="9">
        <v>1</v>
      </c>
      <c r="K68" s="10"/>
      <c r="L68" s="10"/>
      <c r="M68" s="9">
        <f t="shared" si="0"/>
        <v>3</v>
      </c>
      <c r="N68" s="11"/>
      <c r="O68" s="11"/>
      <c r="P68" s="47">
        <v>600</v>
      </c>
      <c r="Q68" s="47">
        <f t="shared" si="1"/>
        <v>1800</v>
      </c>
    </row>
    <row r="69" spans="1:17" ht="28.5">
      <c r="A69" s="14">
        <v>59</v>
      </c>
      <c r="B69" s="13" t="s">
        <v>28</v>
      </c>
      <c r="C69" s="24" t="s">
        <v>92</v>
      </c>
      <c r="D69" s="6">
        <v>4202000029</v>
      </c>
      <c r="E69" s="6" t="s">
        <v>31</v>
      </c>
      <c r="F69" s="6" t="s">
        <v>32</v>
      </c>
      <c r="G69" s="6" t="s">
        <v>33</v>
      </c>
      <c r="H69" s="9" t="s">
        <v>27</v>
      </c>
      <c r="I69" s="9">
        <v>4</v>
      </c>
      <c r="J69" s="9">
        <v>1</v>
      </c>
      <c r="K69" s="10"/>
      <c r="L69" s="10"/>
      <c r="M69" s="9">
        <f t="shared" si="0"/>
        <v>4</v>
      </c>
      <c r="N69" s="11"/>
      <c r="O69" s="11"/>
      <c r="P69" s="47">
        <v>45</v>
      </c>
      <c r="Q69" s="47">
        <f t="shared" si="1"/>
        <v>180</v>
      </c>
    </row>
    <row r="70" spans="1:17" ht="28.5">
      <c r="A70" s="14">
        <v>60</v>
      </c>
      <c r="B70" s="13" t="s">
        <v>28</v>
      </c>
      <c r="C70" s="25"/>
      <c r="D70" s="6">
        <v>3001000116</v>
      </c>
      <c r="E70" s="6" t="s">
        <v>23</v>
      </c>
      <c r="F70" s="6" t="s">
        <v>43</v>
      </c>
      <c r="G70" s="6" t="s">
        <v>33</v>
      </c>
      <c r="H70" s="9" t="s">
        <v>27</v>
      </c>
      <c r="I70" s="9">
        <v>4</v>
      </c>
      <c r="J70" s="9">
        <v>1</v>
      </c>
      <c r="K70" s="10"/>
      <c r="L70" s="10"/>
      <c r="M70" s="9">
        <f t="shared" si="0"/>
        <v>4</v>
      </c>
      <c r="N70" s="11"/>
      <c r="O70" s="11"/>
      <c r="P70" s="47">
        <v>60</v>
      </c>
      <c r="Q70" s="47">
        <f t="shared" ref="Q70:Q105" si="4">P70*M70</f>
        <v>240</v>
      </c>
    </row>
    <row r="71" spans="1:17" ht="28.5">
      <c r="A71" s="14">
        <v>61</v>
      </c>
      <c r="B71" s="13" t="s">
        <v>28</v>
      </c>
      <c r="C71" s="25"/>
      <c r="D71" s="12">
        <v>4000000019</v>
      </c>
      <c r="E71" s="12" t="s">
        <v>55</v>
      </c>
      <c r="F71" s="12" t="s">
        <v>24</v>
      </c>
      <c r="G71" s="12" t="s">
        <v>57</v>
      </c>
      <c r="H71" s="9" t="s">
        <v>27</v>
      </c>
      <c r="I71" s="9">
        <v>4</v>
      </c>
      <c r="J71" s="9">
        <v>1</v>
      </c>
      <c r="K71" s="10"/>
      <c r="L71" s="10"/>
      <c r="M71" s="9">
        <f t="shared" si="0"/>
        <v>4</v>
      </c>
      <c r="N71" s="11"/>
      <c r="O71" s="11"/>
      <c r="P71" s="47">
        <v>1350</v>
      </c>
      <c r="Q71" s="47">
        <f t="shared" si="4"/>
        <v>5400</v>
      </c>
    </row>
    <row r="72" spans="1:17" ht="28.5">
      <c r="A72" s="14">
        <v>62</v>
      </c>
      <c r="B72" s="13" t="s">
        <v>28</v>
      </c>
      <c r="C72" s="25"/>
      <c r="D72" s="12">
        <v>4100000123</v>
      </c>
      <c r="E72" s="12" t="s">
        <v>77</v>
      </c>
      <c r="F72" s="12" t="s">
        <v>78</v>
      </c>
      <c r="G72" s="12" t="s">
        <v>72</v>
      </c>
      <c r="H72" s="9" t="s">
        <v>27</v>
      </c>
      <c r="I72" s="9">
        <v>4</v>
      </c>
      <c r="J72" s="9">
        <v>1</v>
      </c>
      <c r="K72" s="10"/>
      <c r="L72" s="10"/>
      <c r="M72" s="9">
        <f t="shared" si="0"/>
        <v>4</v>
      </c>
      <c r="N72" s="11"/>
      <c r="O72" s="11"/>
      <c r="P72" s="47">
        <v>450</v>
      </c>
      <c r="Q72" s="47">
        <f t="shared" si="4"/>
        <v>1800</v>
      </c>
    </row>
    <row r="73" spans="1:17" ht="28.5">
      <c r="A73" s="14">
        <v>63</v>
      </c>
      <c r="B73" s="13" t="s">
        <v>28</v>
      </c>
      <c r="C73" s="25"/>
      <c r="D73" s="12">
        <v>4201000180</v>
      </c>
      <c r="E73" s="12" t="s">
        <v>65</v>
      </c>
      <c r="F73" s="12" t="s">
        <v>30</v>
      </c>
      <c r="G73" s="12" t="s">
        <v>67</v>
      </c>
      <c r="H73" s="9" t="s">
        <v>27</v>
      </c>
      <c r="I73" s="9">
        <v>1</v>
      </c>
      <c r="J73" s="9">
        <v>1</v>
      </c>
      <c r="K73" s="10"/>
      <c r="L73" s="10"/>
      <c r="M73" s="9">
        <f t="shared" si="0"/>
        <v>1</v>
      </c>
      <c r="N73" s="11"/>
      <c r="O73" s="11"/>
      <c r="P73" s="47">
        <v>365</v>
      </c>
      <c r="Q73" s="47">
        <f t="shared" si="4"/>
        <v>365</v>
      </c>
    </row>
    <row r="74" spans="1:17" ht="28.5">
      <c r="A74" s="14">
        <v>64</v>
      </c>
      <c r="B74" s="13" t="s">
        <v>28</v>
      </c>
      <c r="C74" s="26"/>
      <c r="D74" s="6">
        <v>4202000017</v>
      </c>
      <c r="E74" s="6" t="s">
        <v>69</v>
      </c>
      <c r="F74" s="6" t="s">
        <v>68</v>
      </c>
      <c r="G74" s="6" t="s">
        <v>67</v>
      </c>
      <c r="H74" s="9" t="s">
        <v>27</v>
      </c>
      <c r="I74" s="9">
        <v>1</v>
      </c>
      <c r="J74" s="9">
        <v>1</v>
      </c>
      <c r="K74" s="10"/>
      <c r="L74" s="10"/>
      <c r="M74" s="9">
        <f t="shared" si="0"/>
        <v>1</v>
      </c>
      <c r="N74" s="11"/>
      <c r="O74" s="11"/>
      <c r="P74" s="47">
        <v>10</v>
      </c>
      <c r="Q74" s="47">
        <f t="shared" si="4"/>
        <v>10</v>
      </c>
    </row>
    <row r="75" spans="1:17" ht="28.5">
      <c r="A75" s="14">
        <v>65</v>
      </c>
      <c r="B75" s="13" t="s">
        <v>28</v>
      </c>
      <c r="C75" s="24" t="s">
        <v>93</v>
      </c>
      <c r="D75" s="6">
        <v>4202000029</v>
      </c>
      <c r="E75" s="6" t="s">
        <v>31</v>
      </c>
      <c r="F75" s="6" t="s">
        <v>32</v>
      </c>
      <c r="G75" s="6" t="s">
        <v>33</v>
      </c>
      <c r="H75" s="9" t="s">
        <v>27</v>
      </c>
      <c r="I75" s="9">
        <v>1</v>
      </c>
      <c r="J75" s="9">
        <v>1</v>
      </c>
      <c r="K75" s="10"/>
      <c r="L75" s="10"/>
      <c r="M75" s="9">
        <f t="shared" si="0"/>
        <v>1</v>
      </c>
      <c r="N75" s="11"/>
      <c r="O75" s="11"/>
      <c r="P75" s="47">
        <v>45</v>
      </c>
      <c r="Q75" s="47">
        <f t="shared" si="4"/>
        <v>45</v>
      </c>
    </row>
    <row r="76" spans="1:17" ht="28.5">
      <c r="A76" s="14">
        <v>66</v>
      </c>
      <c r="B76" s="13" t="s">
        <v>28</v>
      </c>
      <c r="C76" s="25"/>
      <c r="D76" s="6">
        <v>3001000113</v>
      </c>
      <c r="E76" s="6" t="s">
        <v>23</v>
      </c>
      <c r="F76" s="6" t="s">
        <v>44</v>
      </c>
      <c r="G76" s="6" t="s">
        <v>33</v>
      </c>
      <c r="H76" s="9" t="s">
        <v>27</v>
      </c>
      <c r="I76" s="9">
        <v>1</v>
      </c>
      <c r="J76" s="9">
        <v>1</v>
      </c>
      <c r="K76" s="10"/>
      <c r="L76" s="10"/>
      <c r="M76" s="9">
        <f t="shared" si="0"/>
        <v>1</v>
      </c>
      <c r="N76" s="11"/>
      <c r="O76" s="11"/>
      <c r="P76" s="47">
        <v>120</v>
      </c>
      <c r="Q76" s="47">
        <f t="shared" si="4"/>
        <v>120</v>
      </c>
    </row>
    <row r="77" spans="1:17" ht="28.5">
      <c r="A77" s="14">
        <v>67</v>
      </c>
      <c r="B77" s="13" t="s">
        <v>28</v>
      </c>
      <c r="C77" s="25"/>
      <c r="D77" s="12">
        <v>4000000021</v>
      </c>
      <c r="E77" s="12" t="s">
        <v>56</v>
      </c>
      <c r="F77" s="12" t="s">
        <v>59</v>
      </c>
      <c r="G77" s="12" t="s">
        <v>58</v>
      </c>
      <c r="H77" s="9" t="s">
        <v>27</v>
      </c>
      <c r="I77" s="9">
        <v>1</v>
      </c>
      <c r="J77" s="9">
        <v>1</v>
      </c>
      <c r="K77" s="10"/>
      <c r="L77" s="10"/>
      <c r="M77" s="9">
        <f t="shared" ref="M77:M104" si="5">J77*I77</f>
        <v>1</v>
      </c>
      <c r="N77" s="11"/>
      <c r="O77" s="11"/>
      <c r="P77" s="47">
        <v>900</v>
      </c>
      <c r="Q77" s="47">
        <f t="shared" si="4"/>
        <v>900</v>
      </c>
    </row>
    <row r="78" spans="1:17" ht="28.5">
      <c r="A78" s="14">
        <v>68</v>
      </c>
      <c r="B78" s="13" t="s">
        <v>28</v>
      </c>
      <c r="C78" s="25"/>
      <c r="D78" s="12">
        <v>4100000123</v>
      </c>
      <c r="E78" s="12" t="s">
        <v>77</v>
      </c>
      <c r="F78" s="12" t="s">
        <v>78</v>
      </c>
      <c r="G78" s="12" t="s">
        <v>72</v>
      </c>
      <c r="H78" s="9" t="s">
        <v>27</v>
      </c>
      <c r="I78" s="9">
        <v>1</v>
      </c>
      <c r="J78" s="9">
        <v>1</v>
      </c>
      <c r="K78" s="10"/>
      <c r="L78" s="10"/>
      <c r="M78" s="9">
        <f t="shared" si="5"/>
        <v>1</v>
      </c>
      <c r="N78" s="11"/>
      <c r="O78" s="11"/>
      <c r="P78" s="47">
        <v>450</v>
      </c>
      <c r="Q78" s="47">
        <f t="shared" si="4"/>
        <v>450</v>
      </c>
    </row>
    <row r="79" spans="1:17" ht="28.5">
      <c r="A79" s="14">
        <v>69</v>
      </c>
      <c r="B79" s="13" t="s">
        <v>28</v>
      </c>
      <c r="C79" s="25"/>
      <c r="D79" s="12">
        <v>4201000046</v>
      </c>
      <c r="E79" s="12" t="s">
        <v>65</v>
      </c>
      <c r="F79" s="12" t="s">
        <v>86</v>
      </c>
      <c r="G79" s="12" t="s">
        <v>67</v>
      </c>
      <c r="H79" s="9" t="s">
        <v>27</v>
      </c>
      <c r="I79" s="9">
        <v>1</v>
      </c>
      <c r="J79" s="9">
        <v>1</v>
      </c>
      <c r="K79" s="10"/>
      <c r="L79" s="10"/>
      <c r="M79" s="9">
        <f t="shared" si="5"/>
        <v>1</v>
      </c>
      <c r="N79" s="11"/>
      <c r="O79" s="11"/>
      <c r="P79" s="47">
        <v>250</v>
      </c>
      <c r="Q79" s="47">
        <f t="shared" si="4"/>
        <v>250</v>
      </c>
    </row>
    <row r="80" spans="1:17" ht="28.5">
      <c r="A80" s="14">
        <v>70</v>
      </c>
      <c r="B80" s="13" t="s">
        <v>28</v>
      </c>
      <c r="C80" s="26"/>
      <c r="D80" s="6">
        <v>4202000017</v>
      </c>
      <c r="E80" s="6" t="s">
        <v>69</v>
      </c>
      <c r="F80" s="6" t="s">
        <v>68</v>
      </c>
      <c r="G80" s="6" t="s">
        <v>67</v>
      </c>
      <c r="H80" s="9" t="s">
        <v>27</v>
      </c>
      <c r="I80" s="9">
        <v>1</v>
      </c>
      <c r="J80" s="9">
        <v>1</v>
      </c>
      <c r="K80" s="10"/>
      <c r="L80" s="10"/>
      <c r="M80" s="9">
        <f t="shared" si="5"/>
        <v>1</v>
      </c>
      <c r="N80" s="11"/>
      <c r="O80" s="11"/>
      <c r="P80" s="47">
        <v>10</v>
      </c>
      <c r="Q80" s="47">
        <f t="shared" si="4"/>
        <v>10</v>
      </c>
    </row>
    <row r="81" spans="1:17" ht="28.5">
      <c r="A81" s="14">
        <v>71</v>
      </c>
      <c r="B81" s="13" t="s">
        <v>28</v>
      </c>
      <c r="C81" s="24" t="s">
        <v>94</v>
      </c>
      <c r="D81" s="6">
        <v>4202000029</v>
      </c>
      <c r="E81" s="6" t="s">
        <v>31</v>
      </c>
      <c r="F81" s="6" t="s">
        <v>32</v>
      </c>
      <c r="G81" s="6" t="s">
        <v>33</v>
      </c>
      <c r="H81" s="9" t="s">
        <v>27</v>
      </c>
      <c r="I81" s="9">
        <v>2</v>
      </c>
      <c r="J81" s="9">
        <v>1</v>
      </c>
      <c r="K81" s="10"/>
      <c r="L81" s="10"/>
      <c r="M81" s="9">
        <f t="shared" si="5"/>
        <v>2</v>
      </c>
      <c r="N81" s="11"/>
      <c r="O81" s="11"/>
      <c r="P81" s="47">
        <v>45</v>
      </c>
      <c r="Q81" s="47">
        <f t="shared" si="4"/>
        <v>90</v>
      </c>
    </row>
    <row r="82" spans="1:17" ht="28.5">
      <c r="A82" s="14">
        <v>72</v>
      </c>
      <c r="B82" s="13" t="s">
        <v>28</v>
      </c>
      <c r="C82" s="25"/>
      <c r="D82" s="6">
        <v>3001000113</v>
      </c>
      <c r="E82" s="6" t="s">
        <v>23</v>
      </c>
      <c r="F82" s="6" t="s">
        <v>44</v>
      </c>
      <c r="G82" s="6" t="s">
        <v>33</v>
      </c>
      <c r="H82" s="9" t="s">
        <v>27</v>
      </c>
      <c r="I82" s="9">
        <v>2</v>
      </c>
      <c r="J82" s="9">
        <v>1</v>
      </c>
      <c r="K82" s="10"/>
      <c r="L82" s="10"/>
      <c r="M82" s="9">
        <f t="shared" si="5"/>
        <v>2</v>
      </c>
      <c r="N82" s="11"/>
      <c r="O82" s="11"/>
      <c r="P82" s="47">
        <v>60</v>
      </c>
      <c r="Q82" s="47">
        <f t="shared" si="4"/>
        <v>120</v>
      </c>
    </row>
    <row r="83" spans="1:17" ht="28.5">
      <c r="A83" s="14">
        <v>73</v>
      </c>
      <c r="B83" s="13" t="s">
        <v>28</v>
      </c>
      <c r="C83" s="25"/>
      <c r="D83" s="12">
        <v>4000000019</v>
      </c>
      <c r="E83" s="12" t="s">
        <v>55</v>
      </c>
      <c r="F83" s="12" t="s">
        <v>24</v>
      </c>
      <c r="G83" s="12" t="s">
        <v>57</v>
      </c>
      <c r="H83" s="9" t="s">
        <v>27</v>
      </c>
      <c r="I83" s="9">
        <v>2</v>
      </c>
      <c r="J83" s="9">
        <v>1</v>
      </c>
      <c r="K83" s="10"/>
      <c r="L83" s="10"/>
      <c r="M83" s="9">
        <f t="shared" si="5"/>
        <v>2</v>
      </c>
      <c r="N83" s="11"/>
      <c r="O83" s="11"/>
      <c r="P83" s="47">
        <v>1350</v>
      </c>
      <c r="Q83" s="47">
        <f t="shared" si="4"/>
        <v>2700</v>
      </c>
    </row>
    <row r="84" spans="1:17" ht="28.5">
      <c r="A84" s="14">
        <v>74</v>
      </c>
      <c r="B84" s="13" t="s">
        <v>28</v>
      </c>
      <c r="C84" s="25"/>
      <c r="D84" s="12">
        <v>4100000063</v>
      </c>
      <c r="E84" s="12" t="s">
        <v>77</v>
      </c>
      <c r="F84" s="12" t="s">
        <v>42</v>
      </c>
      <c r="G84" s="12" t="s">
        <v>60</v>
      </c>
      <c r="H84" s="9" t="s">
        <v>27</v>
      </c>
      <c r="I84" s="9">
        <v>2</v>
      </c>
      <c r="J84" s="9">
        <v>1</v>
      </c>
      <c r="K84" s="10"/>
      <c r="L84" s="10"/>
      <c r="M84" s="9">
        <f t="shared" si="5"/>
        <v>2</v>
      </c>
      <c r="N84" s="11"/>
      <c r="O84" s="11"/>
      <c r="P84" s="47">
        <v>450</v>
      </c>
      <c r="Q84" s="47">
        <f t="shared" si="4"/>
        <v>900</v>
      </c>
    </row>
    <row r="85" spans="1:17" ht="28.5">
      <c r="A85" s="14">
        <v>75</v>
      </c>
      <c r="B85" s="13" t="s">
        <v>28</v>
      </c>
      <c r="C85" s="25"/>
      <c r="D85" s="12">
        <v>4201000180</v>
      </c>
      <c r="E85" s="12" t="s">
        <v>65</v>
      </c>
      <c r="F85" s="12" t="s">
        <v>30</v>
      </c>
      <c r="G85" s="12" t="s">
        <v>67</v>
      </c>
      <c r="H85" s="9" t="s">
        <v>27</v>
      </c>
      <c r="I85" s="9">
        <v>1</v>
      </c>
      <c r="J85" s="9">
        <v>1</v>
      </c>
      <c r="K85" s="10"/>
      <c r="L85" s="10"/>
      <c r="M85" s="9">
        <f t="shared" si="5"/>
        <v>1</v>
      </c>
      <c r="N85" s="11"/>
      <c r="O85" s="11"/>
      <c r="P85" s="47">
        <v>365</v>
      </c>
      <c r="Q85" s="47">
        <f t="shared" si="4"/>
        <v>365</v>
      </c>
    </row>
    <row r="86" spans="1:17" ht="28.5">
      <c r="A86" s="14">
        <v>76</v>
      </c>
      <c r="B86" s="13" t="s">
        <v>28</v>
      </c>
      <c r="C86" s="26"/>
      <c r="D86" s="6">
        <v>4202000017</v>
      </c>
      <c r="E86" s="6" t="s">
        <v>69</v>
      </c>
      <c r="F86" s="6" t="s">
        <v>68</v>
      </c>
      <c r="G86" s="6" t="s">
        <v>67</v>
      </c>
      <c r="H86" s="9" t="s">
        <v>27</v>
      </c>
      <c r="I86" s="9">
        <v>1</v>
      </c>
      <c r="J86" s="9">
        <v>1</v>
      </c>
      <c r="K86" s="10"/>
      <c r="L86" s="10"/>
      <c r="M86" s="9">
        <f t="shared" si="5"/>
        <v>1</v>
      </c>
      <c r="N86" s="11"/>
      <c r="O86" s="11"/>
      <c r="P86" s="47">
        <v>10</v>
      </c>
      <c r="Q86" s="47">
        <f t="shared" si="4"/>
        <v>10</v>
      </c>
    </row>
    <row r="87" spans="1:17" ht="28.5">
      <c r="A87" s="14">
        <v>77</v>
      </c>
      <c r="B87" s="13" t="s">
        <v>28</v>
      </c>
      <c r="C87" s="24" t="s">
        <v>95</v>
      </c>
      <c r="D87" s="6">
        <v>4202000029</v>
      </c>
      <c r="E87" s="6" t="s">
        <v>31</v>
      </c>
      <c r="F87" s="6" t="s">
        <v>32</v>
      </c>
      <c r="G87" s="6" t="s">
        <v>33</v>
      </c>
      <c r="H87" s="9" t="s">
        <v>27</v>
      </c>
      <c r="I87" s="9">
        <v>2</v>
      </c>
      <c r="J87" s="9">
        <v>1</v>
      </c>
      <c r="K87" s="10"/>
      <c r="L87" s="10"/>
      <c r="M87" s="9">
        <f t="shared" si="5"/>
        <v>2</v>
      </c>
      <c r="N87" s="11"/>
      <c r="O87" s="11"/>
      <c r="P87" s="47">
        <v>45</v>
      </c>
      <c r="Q87" s="47">
        <f t="shared" si="4"/>
        <v>90</v>
      </c>
    </row>
    <row r="88" spans="1:17" ht="28.5">
      <c r="A88" s="14">
        <v>78</v>
      </c>
      <c r="B88" s="13" t="s">
        <v>28</v>
      </c>
      <c r="C88" s="25"/>
      <c r="D88" s="6">
        <v>3001000113</v>
      </c>
      <c r="E88" s="6" t="s">
        <v>23</v>
      </c>
      <c r="F88" s="6" t="s">
        <v>44</v>
      </c>
      <c r="G88" s="6" t="s">
        <v>33</v>
      </c>
      <c r="H88" s="9" t="s">
        <v>27</v>
      </c>
      <c r="I88" s="9">
        <v>2</v>
      </c>
      <c r="J88" s="9">
        <v>1</v>
      </c>
      <c r="K88" s="10"/>
      <c r="L88" s="10"/>
      <c r="M88" s="9">
        <f t="shared" si="5"/>
        <v>2</v>
      </c>
      <c r="N88" s="11"/>
      <c r="O88" s="11"/>
      <c r="P88" s="47">
        <v>60</v>
      </c>
      <c r="Q88" s="47">
        <f t="shared" si="4"/>
        <v>120</v>
      </c>
    </row>
    <row r="89" spans="1:17" ht="28.5">
      <c r="A89" s="14">
        <v>79</v>
      </c>
      <c r="B89" s="13" t="s">
        <v>28</v>
      </c>
      <c r="C89" s="25"/>
      <c r="D89" s="12">
        <v>4000000019</v>
      </c>
      <c r="E89" s="12" t="s">
        <v>55</v>
      </c>
      <c r="F89" s="12" t="s">
        <v>24</v>
      </c>
      <c r="G89" s="12" t="s">
        <v>57</v>
      </c>
      <c r="H89" s="9" t="s">
        <v>27</v>
      </c>
      <c r="I89" s="9">
        <v>2</v>
      </c>
      <c r="J89" s="9">
        <v>1</v>
      </c>
      <c r="K89" s="10"/>
      <c r="L89" s="10"/>
      <c r="M89" s="9">
        <f t="shared" si="5"/>
        <v>2</v>
      </c>
      <c r="N89" s="11"/>
      <c r="O89" s="11"/>
      <c r="P89" s="47">
        <v>1350</v>
      </c>
      <c r="Q89" s="47">
        <f t="shared" si="4"/>
        <v>2700</v>
      </c>
    </row>
    <row r="90" spans="1:17" ht="28.5">
      <c r="A90" s="14">
        <v>80</v>
      </c>
      <c r="B90" s="13" t="s">
        <v>28</v>
      </c>
      <c r="C90" s="25"/>
      <c r="D90" s="12">
        <v>4100000063</v>
      </c>
      <c r="E90" s="12" t="s">
        <v>77</v>
      </c>
      <c r="F90" s="12" t="s">
        <v>42</v>
      </c>
      <c r="G90" s="12" t="s">
        <v>60</v>
      </c>
      <c r="H90" s="9" t="s">
        <v>27</v>
      </c>
      <c r="I90" s="9">
        <v>2</v>
      </c>
      <c r="J90" s="9">
        <v>1</v>
      </c>
      <c r="K90" s="10"/>
      <c r="L90" s="10"/>
      <c r="M90" s="9">
        <f t="shared" si="5"/>
        <v>2</v>
      </c>
      <c r="N90" s="11"/>
      <c r="O90" s="11"/>
      <c r="P90" s="47">
        <v>450</v>
      </c>
      <c r="Q90" s="47">
        <f t="shared" si="4"/>
        <v>900</v>
      </c>
    </row>
    <row r="91" spans="1:17" ht="28.5">
      <c r="A91" s="14">
        <v>81</v>
      </c>
      <c r="B91" s="13" t="s">
        <v>28</v>
      </c>
      <c r="C91" s="25"/>
      <c r="D91" s="12">
        <v>4201000180</v>
      </c>
      <c r="E91" s="12" t="s">
        <v>65</v>
      </c>
      <c r="F91" s="12" t="s">
        <v>30</v>
      </c>
      <c r="G91" s="12" t="s">
        <v>67</v>
      </c>
      <c r="H91" s="9" t="s">
        <v>27</v>
      </c>
      <c r="I91" s="9">
        <v>1</v>
      </c>
      <c r="J91" s="9">
        <v>1</v>
      </c>
      <c r="K91" s="10"/>
      <c r="L91" s="10"/>
      <c r="M91" s="9">
        <f t="shared" si="5"/>
        <v>1</v>
      </c>
      <c r="N91" s="11"/>
      <c r="O91" s="11"/>
      <c r="P91" s="47">
        <v>365</v>
      </c>
      <c r="Q91" s="47">
        <f t="shared" si="4"/>
        <v>365</v>
      </c>
    </row>
    <row r="92" spans="1:17" ht="28.5">
      <c r="A92" s="14">
        <v>82</v>
      </c>
      <c r="B92" s="13" t="s">
        <v>28</v>
      </c>
      <c r="C92" s="25"/>
      <c r="D92" s="12">
        <v>4201000255</v>
      </c>
      <c r="E92" s="12" t="s">
        <v>89</v>
      </c>
      <c r="F92" s="12" t="s">
        <v>90</v>
      </c>
      <c r="G92" s="12" t="s">
        <v>67</v>
      </c>
      <c r="H92" s="9" t="s">
        <v>27</v>
      </c>
      <c r="I92" s="9">
        <v>1</v>
      </c>
      <c r="J92" s="9">
        <v>1</v>
      </c>
      <c r="K92" s="10"/>
      <c r="L92" s="10"/>
      <c r="M92" s="9">
        <f t="shared" si="5"/>
        <v>1</v>
      </c>
      <c r="N92" s="11"/>
      <c r="O92" s="11"/>
      <c r="P92" s="47">
        <v>345</v>
      </c>
      <c r="Q92" s="47">
        <f t="shared" si="4"/>
        <v>345</v>
      </c>
    </row>
    <row r="93" spans="1:17" ht="28.5">
      <c r="A93" s="14">
        <v>83</v>
      </c>
      <c r="B93" s="13" t="s">
        <v>28</v>
      </c>
      <c r="C93" s="26"/>
      <c r="D93" s="6">
        <v>4202000018</v>
      </c>
      <c r="E93" s="6" t="s">
        <v>40</v>
      </c>
      <c r="F93" s="6" t="s">
        <v>41</v>
      </c>
      <c r="G93" s="6" t="s">
        <v>67</v>
      </c>
      <c r="H93" s="9" t="s">
        <v>27</v>
      </c>
      <c r="I93" s="9">
        <v>2</v>
      </c>
      <c r="J93" s="9">
        <v>1</v>
      </c>
      <c r="K93" s="10"/>
      <c r="L93" s="10"/>
      <c r="M93" s="9">
        <f t="shared" si="5"/>
        <v>2</v>
      </c>
      <c r="N93" s="11"/>
      <c r="O93" s="11"/>
      <c r="P93" s="47">
        <v>10</v>
      </c>
      <c r="Q93" s="47">
        <f t="shared" si="4"/>
        <v>20</v>
      </c>
    </row>
    <row r="94" spans="1:17" ht="28.5">
      <c r="A94" s="14">
        <v>84</v>
      </c>
      <c r="B94" s="13" t="s">
        <v>28</v>
      </c>
      <c r="C94" s="30" t="s">
        <v>29</v>
      </c>
      <c r="D94" s="12">
        <v>4202000010</v>
      </c>
      <c r="E94" s="12" t="s">
        <v>96</v>
      </c>
      <c r="F94" s="12" t="s">
        <v>97</v>
      </c>
      <c r="G94" s="12" t="s">
        <v>64</v>
      </c>
      <c r="H94" s="9" t="s">
        <v>27</v>
      </c>
      <c r="I94" s="9">
        <v>1</v>
      </c>
      <c r="J94" s="9">
        <v>1</v>
      </c>
      <c r="K94" s="10"/>
      <c r="L94" s="10"/>
      <c r="M94" s="9">
        <f>J94*I94</f>
        <v>1</v>
      </c>
      <c r="N94" s="11"/>
      <c r="O94" s="11"/>
      <c r="P94" s="47">
        <v>980</v>
      </c>
      <c r="Q94" s="47">
        <f t="shared" si="4"/>
        <v>980</v>
      </c>
    </row>
    <row r="95" spans="1:17" ht="28.5">
      <c r="A95" s="14">
        <v>85</v>
      </c>
      <c r="B95" s="13" t="s">
        <v>28</v>
      </c>
      <c r="C95" s="30"/>
      <c r="D95" s="12">
        <v>2004020003</v>
      </c>
      <c r="E95" s="12" t="s">
        <v>79</v>
      </c>
      <c r="F95" s="12" t="s">
        <v>80</v>
      </c>
      <c r="G95" s="12" t="s">
        <v>81</v>
      </c>
      <c r="H95" s="9" t="s">
        <v>27</v>
      </c>
      <c r="I95" s="9">
        <v>1</v>
      </c>
      <c r="J95" s="9">
        <v>1</v>
      </c>
      <c r="K95" s="10"/>
      <c r="L95" s="10"/>
      <c r="M95" s="9">
        <f t="shared" si="5"/>
        <v>1</v>
      </c>
      <c r="N95" s="11"/>
      <c r="O95" s="11"/>
      <c r="P95" s="47">
        <v>700</v>
      </c>
      <c r="Q95" s="47">
        <f t="shared" si="4"/>
        <v>700</v>
      </c>
    </row>
    <row r="96" spans="1:17" ht="28.5">
      <c r="A96" s="14">
        <v>86</v>
      </c>
      <c r="B96" s="13" t="s">
        <v>28</v>
      </c>
      <c r="C96" s="30"/>
      <c r="D96" s="6">
        <v>2004020007</v>
      </c>
      <c r="E96" s="6" t="s">
        <v>49</v>
      </c>
      <c r="F96" s="6" t="s">
        <v>50</v>
      </c>
      <c r="G96" s="6" t="s">
        <v>34</v>
      </c>
      <c r="H96" s="9" t="s">
        <v>27</v>
      </c>
      <c r="I96" s="9">
        <v>1</v>
      </c>
      <c r="J96" s="9">
        <v>1</v>
      </c>
      <c r="K96" s="10"/>
      <c r="L96" s="10"/>
      <c r="M96" s="9">
        <f t="shared" si="5"/>
        <v>1</v>
      </c>
      <c r="N96" s="11"/>
      <c r="O96" s="11"/>
      <c r="P96" s="47">
        <v>40</v>
      </c>
      <c r="Q96" s="47">
        <f t="shared" si="4"/>
        <v>40</v>
      </c>
    </row>
    <row r="97" spans="1:17" ht="28.5">
      <c r="A97" s="14">
        <v>87</v>
      </c>
      <c r="B97" s="13" t="s">
        <v>28</v>
      </c>
      <c r="C97" s="30"/>
      <c r="D97" s="6">
        <v>3001000043</v>
      </c>
      <c r="E97" s="6" t="s">
        <v>51</v>
      </c>
      <c r="F97" s="6" t="s">
        <v>35</v>
      </c>
      <c r="G97" s="6" t="s">
        <v>25</v>
      </c>
      <c r="H97" s="9" t="s">
        <v>27</v>
      </c>
      <c r="I97" s="9">
        <v>1</v>
      </c>
      <c r="J97" s="9">
        <v>1</v>
      </c>
      <c r="K97" s="10"/>
      <c r="L97" s="10"/>
      <c r="M97" s="9">
        <f t="shared" si="5"/>
        <v>1</v>
      </c>
      <c r="N97" s="11"/>
      <c r="O97" s="11"/>
      <c r="P97" s="47">
        <v>140</v>
      </c>
      <c r="Q97" s="47">
        <f t="shared" si="4"/>
        <v>140</v>
      </c>
    </row>
    <row r="98" spans="1:17" ht="28.5">
      <c r="A98" s="14">
        <v>88</v>
      </c>
      <c r="B98" s="13" t="s">
        <v>28</v>
      </c>
      <c r="C98" s="30"/>
      <c r="D98" s="6">
        <v>3001000042</v>
      </c>
      <c r="E98" s="6" t="s">
        <v>52</v>
      </c>
      <c r="F98" s="6" t="s">
        <v>36</v>
      </c>
      <c r="G98" s="6" t="s">
        <v>25</v>
      </c>
      <c r="H98" s="9" t="s">
        <v>27</v>
      </c>
      <c r="I98" s="9">
        <v>2</v>
      </c>
      <c r="J98" s="9">
        <v>1</v>
      </c>
      <c r="K98" s="10"/>
      <c r="L98" s="10"/>
      <c r="M98" s="9">
        <f t="shared" si="5"/>
        <v>2</v>
      </c>
      <c r="N98" s="11"/>
      <c r="O98" s="11"/>
      <c r="P98" s="47">
        <v>80</v>
      </c>
      <c r="Q98" s="47">
        <f t="shared" si="4"/>
        <v>160</v>
      </c>
    </row>
    <row r="99" spans="1:17" ht="28.5">
      <c r="A99" s="14">
        <v>89</v>
      </c>
      <c r="B99" s="13" t="s">
        <v>28</v>
      </c>
      <c r="C99" s="30"/>
      <c r="D99" s="12">
        <v>2004030003</v>
      </c>
      <c r="E99" s="12" t="s">
        <v>45</v>
      </c>
      <c r="F99" s="12" t="s">
        <v>46</v>
      </c>
      <c r="G99" s="12" t="s">
        <v>26</v>
      </c>
      <c r="H99" s="9" t="s">
        <v>27</v>
      </c>
      <c r="I99" s="9">
        <v>1</v>
      </c>
      <c r="J99" s="9">
        <v>1</v>
      </c>
      <c r="K99" s="10"/>
      <c r="L99" s="10"/>
      <c r="M99" s="9">
        <f t="shared" si="5"/>
        <v>1</v>
      </c>
      <c r="N99" s="11"/>
      <c r="O99" s="11"/>
      <c r="P99" s="47">
        <v>130</v>
      </c>
      <c r="Q99" s="47">
        <f t="shared" si="4"/>
        <v>130</v>
      </c>
    </row>
    <row r="100" spans="1:17">
      <c r="A100" s="14"/>
      <c r="B100" s="13"/>
      <c r="C100" s="30"/>
      <c r="D100" s="18">
        <v>4400000069</v>
      </c>
      <c r="E100" s="19" t="s">
        <v>98</v>
      </c>
      <c r="F100" s="19" t="s">
        <v>99</v>
      </c>
      <c r="G100" s="19" t="s">
        <v>100</v>
      </c>
      <c r="H100" s="9" t="s">
        <v>27</v>
      </c>
      <c r="I100" s="9">
        <v>1</v>
      </c>
      <c r="J100" s="9">
        <v>1</v>
      </c>
      <c r="K100" s="10"/>
      <c r="L100" s="10"/>
      <c r="M100" s="9">
        <f t="shared" ref="M100:M101" si="6">J100*I100</f>
        <v>1</v>
      </c>
      <c r="N100" s="11"/>
      <c r="O100" s="11"/>
      <c r="P100" s="47">
        <v>700</v>
      </c>
      <c r="Q100" s="47">
        <f t="shared" si="4"/>
        <v>700</v>
      </c>
    </row>
    <row r="101" spans="1:17" ht="18.75">
      <c r="A101" s="14"/>
      <c r="B101" s="13"/>
      <c r="C101" s="30"/>
      <c r="D101" s="23">
        <v>4202000131</v>
      </c>
      <c r="E101" s="23" t="s">
        <v>103</v>
      </c>
      <c r="F101" s="23" t="s">
        <v>104</v>
      </c>
      <c r="G101" s="23" t="s">
        <v>100</v>
      </c>
      <c r="H101" s="9" t="s">
        <v>27</v>
      </c>
      <c r="I101" s="9">
        <v>1</v>
      </c>
      <c r="J101" s="9">
        <v>1</v>
      </c>
      <c r="K101" s="10"/>
      <c r="L101" s="10"/>
      <c r="M101" s="9">
        <f t="shared" si="6"/>
        <v>1</v>
      </c>
      <c r="N101" s="11"/>
      <c r="O101" s="11"/>
      <c r="P101" s="47">
        <v>200</v>
      </c>
      <c r="Q101" s="47">
        <f t="shared" si="4"/>
        <v>200</v>
      </c>
    </row>
    <row r="102" spans="1:17">
      <c r="A102" s="14"/>
      <c r="B102" s="13"/>
      <c r="C102" s="30"/>
      <c r="D102" s="20">
        <v>3101000111</v>
      </c>
      <c r="E102" s="21" t="s">
        <v>101</v>
      </c>
      <c r="F102" s="22" t="s">
        <v>102</v>
      </c>
      <c r="G102" s="22" t="s">
        <v>100</v>
      </c>
      <c r="H102" s="9" t="s">
        <v>27</v>
      </c>
      <c r="I102" s="9">
        <v>1</v>
      </c>
      <c r="J102" s="9">
        <v>1</v>
      </c>
      <c r="K102" s="10"/>
      <c r="L102" s="10"/>
      <c r="M102" s="9">
        <f t="shared" ref="M102" si="7">J102*I102</f>
        <v>1</v>
      </c>
      <c r="N102" s="11"/>
      <c r="O102" s="11"/>
      <c r="P102" s="47">
        <v>600</v>
      </c>
      <c r="Q102" s="47">
        <f t="shared" si="4"/>
        <v>600</v>
      </c>
    </row>
    <row r="103" spans="1:17" ht="75">
      <c r="A103" s="14">
        <v>90</v>
      </c>
      <c r="B103" s="13" t="s">
        <v>28</v>
      </c>
      <c r="C103" s="30"/>
      <c r="D103" s="12">
        <v>4300000170</v>
      </c>
      <c r="E103" s="12" t="s">
        <v>47</v>
      </c>
      <c r="F103" s="12" t="s">
        <v>82</v>
      </c>
      <c r="G103" s="12" t="s">
        <v>54</v>
      </c>
      <c r="H103" s="9" t="s">
        <v>27</v>
      </c>
      <c r="I103" s="9">
        <v>1</v>
      </c>
      <c r="J103" s="9">
        <v>1</v>
      </c>
      <c r="K103" s="10"/>
      <c r="L103" s="10"/>
      <c r="M103" s="9">
        <f t="shared" si="5"/>
        <v>1</v>
      </c>
      <c r="N103" s="11"/>
      <c r="O103" s="11"/>
      <c r="P103" s="47">
        <v>14000</v>
      </c>
      <c r="Q103" s="47">
        <f t="shared" si="4"/>
        <v>14000</v>
      </c>
    </row>
    <row r="104" spans="1:17" ht="28.5">
      <c r="A104" s="14">
        <v>91</v>
      </c>
      <c r="B104" s="13" t="s">
        <v>28</v>
      </c>
      <c r="C104" s="30"/>
      <c r="D104" s="6">
        <v>2502000003</v>
      </c>
      <c r="E104" s="6" t="s">
        <v>83</v>
      </c>
      <c r="F104" s="6" t="s">
        <v>84</v>
      </c>
      <c r="G104" s="6" t="s">
        <v>58</v>
      </c>
      <c r="H104" s="9" t="s">
        <v>27</v>
      </c>
      <c r="I104" s="9">
        <v>3</v>
      </c>
      <c r="J104" s="9">
        <v>1</v>
      </c>
      <c r="K104" s="10"/>
      <c r="L104" s="10"/>
      <c r="M104" s="9">
        <f t="shared" si="5"/>
        <v>3</v>
      </c>
      <c r="N104" s="11"/>
      <c r="O104" s="11"/>
      <c r="P104" s="47">
        <v>600</v>
      </c>
      <c r="Q104" s="47">
        <f t="shared" si="4"/>
        <v>1800</v>
      </c>
    </row>
    <row r="105" spans="1:17" ht="28.5">
      <c r="A105" s="14">
        <v>92</v>
      </c>
      <c r="B105" s="13" t="s">
        <v>28</v>
      </c>
      <c r="C105" s="30"/>
      <c r="D105" s="6">
        <v>2402000007</v>
      </c>
      <c r="E105" s="6" t="s">
        <v>37</v>
      </c>
      <c r="F105" s="6" t="s">
        <v>38</v>
      </c>
      <c r="G105" s="6" t="s">
        <v>39</v>
      </c>
      <c r="H105" s="9" t="s">
        <v>27</v>
      </c>
      <c r="I105" s="9">
        <v>1</v>
      </c>
      <c r="J105" s="9">
        <v>1</v>
      </c>
      <c r="K105" s="10"/>
      <c r="L105" s="10"/>
      <c r="M105" s="9">
        <f>J105*I105</f>
        <v>1</v>
      </c>
      <c r="N105" s="11"/>
      <c r="O105" s="11"/>
      <c r="P105" s="47">
        <v>45</v>
      </c>
      <c r="Q105" s="47">
        <f t="shared" si="4"/>
        <v>45</v>
      </c>
    </row>
    <row r="106" spans="1:17">
      <c r="N106"/>
      <c r="O106"/>
    </row>
    <row r="107" spans="1:17" ht="23.25">
      <c r="N107"/>
      <c r="O107"/>
      <c r="P107" s="48" t="s">
        <v>107</v>
      </c>
      <c r="Q107" s="49">
        <f>SUM(Q5:Q105)</f>
        <v>114295</v>
      </c>
    </row>
    <row r="108" spans="1:17" ht="23.25">
      <c r="N108"/>
      <c r="O108"/>
      <c r="P108" s="48"/>
      <c r="Q108" s="48"/>
    </row>
    <row r="109" spans="1:17">
      <c r="N109"/>
      <c r="O109"/>
    </row>
    <row r="110" spans="1:17">
      <c r="N110"/>
      <c r="O110"/>
    </row>
    <row r="111" spans="1:17">
      <c r="N111"/>
      <c r="O111"/>
    </row>
    <row r="112" spans="1:17">
      <c r="N112"/>
      <c r="O112"/>
    </row>
    <row r="113" spans="14:15">
      <c r="N113"/>
      <c r="O113"/>
    </row>
    <row r="114" spans="14:15">
      <c r="N114"/>
      <c r="O114"/>
    </row>
    <row r="115" spans="14:15">
      <c r="N115"/>
      <c r="O115"/>
    </row>
    <row r="116" spans="14:15">
      <c r="N116"/>
      <c r="O116"/>
    </row>
    <row r="117" spans="14:15">
      <c r="N117"/>
      <c r="O117"/>
    </row>
    <row r="118" spans="14:15">
      <c r="N118"/>
      <c r="O118"/>
    </row>
    <row r="119" spans="14:15">
      <c r="N119"/>
      <c r="O119"/>
    </row>
    <row r="120" spans="14:15">
      <c r="N120"/>
      <c r="O120"/>
    </row>
    <row r="121" spans="14:15">
      <c r="N121"/>
      <c r="O121"/>
    </row>
    <row r="122" spans="14:15">
      <c r="N122"/>
      <c r="O122"/>
    </row>
    <row r="123" spans="14:15">
      <c r="N123"/>
      <c r="O123"/>
    </row>
    <row r="124" spans="14:15">
      <c r="N124"/>
      <c r="O124"/>
    </row>
    <row r="125" spans="14:15">
      <c r="N125"/>
      <c r="O125"/>
    </row>
    <row r="126" spans="14:15">
      <c r="N126"/>
      <c r="O126"/>
    </row>
    <row r="127" spans="14:15">
      <c r="N127"/>
      <c r="O127"/>
    </row>
    <row r="128" spans="14:15">
      <c r="N128"/>
      <c r="O128"/>
    </row>
    <row r="129" spans="14:15">
      <c r="N129"/>
      <c r="O129"/>
    </row>
    <row r="130" spans="14:15">
      <c r="N130"/>
      <c r="O130"/>
    </row>
    <row r="131" spans="14:15">
      <c r="N131"/>
      <c r="O131"/>
    </row>
    <row r="132" spans="14:15">
      <c r="N132"/>
      <c r="O132"/>
    </row>
    <row r="133" spans="14:15">
      <c r="N133"/>
      <c r="O133"/>
    </row>
    <row r="134" spans="14:15">
      <c r="N134"/>
      <c r="O134"/>
    </row>
    <row r="135" spans="14:15">
      <c r="N135"/>
      <c r="O135"/>
    </row>
    <row r="136" spans="14:15">
      <c r="N136"/>
      <c r="O136"/>
    </row>
    <row r="137" spans="14:15">
      <c r="N137"/>
      <c r="O137"/>
    </row>
    <row r="138" spans="14:15">
      <c r="N138"/>
      <c r="O138"/>
    </row>
    <row r="139" spans="14:15">
      <c r="N139"/>
      <c r="O139"/>
    </row>
    <row r="140" spans="14:15">
      <c r="N140"/>
      <c r="O140"/>
    </row>
    <row r="141" spans="14:15">
      <c r="N141"/>
      <c r="O141"/>
    </row>
    <row r="142" spans="14:15">
      <c r="N142"/>
      <c r="O142"/>
    </row>
    <row r="143" spans="14:15">
      <c r="N143"/>
      <c r="O143"/>
    </row>
    <row r="144" spans="14:15">
      <c r="N144"/>
      <c r="O144"/>
    </row>
    <row r="145" spans="14:15">
      <c r="N145"/>
      <c r="O145"/>
    </row>
    <row r="146" spans="14:15">
      <c r="N146"/>
      <c r="O146"/>
    </row>
    <row r="147" spans="14:15">
      <c r="N147"/>
      <c r="O147"/>
    </row>
    <row r="148" spans="14:15">
      <c r="N148"/>
      <c r="O148"/>
    </row>
    <row r="149" spans="14:15">
      <c r="N149"/>
      <c r="O149"/>
    </row>
    <row r="150" spans="14:15">
      <c r="N150"/>
      <c r="O150"/>
    </row>
    <row r="151" spans="14:15">
      <c r="N151"/>
      <c r="O151"/>
    </row>
    <row r="152" spans="14:15">
      <c r="N152"/>
      <c r="O152"/>
    </row>
    <row r="153" spans="14:15">
      <c r="N153"/>
      <c r="O153"/>
    </row>
    <row r="154" spans="14:15">
      <c r="N154"/>
      <c r="O154"/>
    </row>
    <row r="155" spans="14:15">
      <c r="N155"/>
      <c r="O155"/>
    </row>
    <row r="156" spans="14:15">
      <c r="N156"/>
      <c r="O156"/>
    </row>
    <row r="157" spans="14:15">
      <c r="N157"/>
      <c r="O157"/>
    </row>
    <row r="158" spans="14:15">
      <c r="N158"/>
      <c r="O158"/>
    </row>
    <row r="159" spans="14:15">
      <c r="N159"/>
      <c r="O159"/>
    </row>
    <row r="160" spans="14:15">
      <c r="N160"/>
      <c r="O160"/>
    </row>
    <row r="161" spans="14:15">
      <c r="N161"/>
      <c r="O161"/>
    </row>
    <row r="162" spans="14:15">
      <c r="N162"/>
      <c r="O162"/>
    </row>
    <row r="163" spans="14:15">
      <c r="N163"/>
      <c r="O163"/>
    </row>
    <row r="164" spans="14:15">
      <c r="N164"/>
      <c r="O164"/>
    </row>
    <row r="165" spans="14:15">
      <c r="N165"/>
      <c r="O165"/>
    </row>
    <row r="166" spans="14:15">
      <c r="N166"/>
      <c r="O166"/>
    </row>
    <row r="167" spans="14:15">
      <c r="N167"/>
      <c r="O167"/>
    </row>
    <row r="168" spans="14:15">
      <c r="N168"/>
      <c r="O168"/>
    </row>
    <row r="169" spans="14:15">
      <c r="N169"/>
      <c r="O169"/>
    </row>
    <row r="170" spans="14:15">
      <c r="N170"/>
      <c r="O170"/>
    </row>
    <row r="171" spans="14:15">
      <c r="N171"/>
      <c r="O171"/>
    </row>
    <row r="172" spans="14:15">
      <c r="N172"/>
      <c r="O172"/>
    </row>
    <row r="173" spans="14:15">
      <c r="N173"/>
      <c r="O173"/>
    </row>
    <row r="174" spans="14:15">
      <c r="N174"/>
      <c r="O174"/>
    </row>
    <row r="175" spans="14:15">
      <c r="N175"/>
      <c r="O175"/>
    </row>
    <row r="176" spans="14:15">
      <c r="N176"/>
      <c r="O176"/>
    </row>
    <row r="177" spans="14:15">
      <c r="N177"/>
      <c r="O177"/>
    </row>
    <row r="178" spans="14:15">
      <c r="N178"/>
      <c r="O178"/>
    </row>
    <row r="179" spans="14:15">
      <c r="N179"/>
      <c r="O179"/>
    </row>
    <row r="180" spans="14:15">
      <c r="N180"/>
      <c r="O180"/>
    </row>
    <row r="181" spans="14:15">
      <c r="N181"/>
      <c r="O181"/>
    </row>
    <row r="182" spans="14:15">
      <c r="N182"/>
      <c r="O182"/>
    </row>
    <row r="183" spans="14:15">
      <c r="N183"/>
      <c r="O183"/>
    </row>
    <row r="184" spans="14:15">
      <c r="N184"/>
      <c r="O184"/>
    </row>
    <row r="185" spans="14:15">
      <c r="N185"/>
      <c r="O185"/>
    </row>
    <row r="186" spans="14:15">
      <c r="N186"/>
      <c r="O186"/>
    </row>
    <row r="187" spans="14:15">
      <c r="N187"/>
      <c r="O187"/>
    </row>
    <row r="188" spans="14:15">
      <c r="N188"/>
      <c r="O188"/>
    </row>
    <row r="189" spans="14:15">
      <c r="N189"/>
      <c r="O189"/>
    </row>
    <row r="190" spans="14:15">
      <c r="N190"/>
      <c r="O190"/>
    </row>
    <row r="191" spans="14:15">
      <c r="N191"/>
      <c r="O191"/>
    </row>
    <row r="192" spans="14:15">
      <c r="N192"/>
      <c r="O192"/>
    </row>
    <row r="193" spans="14:15">
      <c r="N193"/>
      <c r="O193"/>
    </row>
    <row r="194" spans="14:15">
      <c r="N194"/>
      <c r="O194"/>
    </row>
    <row r="195" spans="14:15">
      <c r="N195"/>
      <c r="O195"/>
    </row>
    <row r="196" spans="14:15">
      <c r="N196"/>
      <c r="O196"/>
    </row>
    <row r="197" spans="14:15">
      <c r="N197"/>
      <c r="O197"/>
    </row>
    <row r="198" spans="14:15">
      <c r="N198"/>
      <c r="O198"/>
    </row>
    <row r="199" spans="14:15">
      <c r="N199"/>
      <c r="O199"/>
    </row>
    <row r="200" spans="14:15">
      <c r="N200"/>
      <c r="O200"/>
    </row>
    <row r="201" spans="14:15">
      <c r="N201"/>
      <c r="O201"/>
    </row>
    <row r="202" spans="14:15">
      <c r="N202"/>
      <c r="O202"/>
    </row>
    <row r="203" spans="14:15">
      <c r="N203"/>
      <c r="O203"/>
    </row>
    <row r="204" spans="14:15">
      <c r="N204"/>
      <c r="O204"/>
    </row>
    <row r="205" spans="14:15">
      <c r="N205"/>
      <c r="O205"/>
    </row>
    <row r="206" spans="14:15">
      <c r="N206"/>
      <c r="O206"/>
    </row>
    <row r="207" spans="14:15">
      <c r="N207"/>
      <c r="O207"/>
    </row>
    <row r="208" spans="14:15">
      <c r="N208"/>
      <c r="O208"/>
    </row>
    <row r="209" spans="14:15">
      <c r="N209"/>
      <c r="O209"/>
    </row>
    <row r="210" spans="14:15">
      <c r="N210"/>
      <c r="O210"/>
    </row>
    <row r="211" spans="14:15">
      <c r="N211"/>
      <c r="O211"/>
    </row>
    <row r="212" spans="14:15">
      <c r="N212"/>
      <c r="O212"/>
    </row>
    <row r="213" spans="14:15">
      <c r="N213"/>
      <c r="O213"/>
    </row>
    <row r="214" spans="14:15">
      <c r="N214"/>
      <c r="O214"/>
    </row>
    <row r="215" spans="14:15">
      <c r="N215"/>
      <c r="O215"/>
    </row>
    <row r="216" spans="14:15">
      <c r="N216"/>
      <c r="O216"/>
    </row>
    <row r="217" spans="14:15">
      <c r="N217"/>
      <c r="O217"/>
    </row>
    <row r="218" spans="14:15">
      <c r="N218"/>
      <c r="O218"/>
    </row>
    <row r="219" spans="14:15">
      <c r="N219"/>
      <c r="O219"/>
    </row>
    <row r="220" spans="14:15">
      <c r="N220"/>
      <c r="O220"/>
    </row>
    <row r="221" spans="14:15">
      <c r="N221"/>
      <c r="O221"/>
    </row>
    <row r="222" spans="14:15">
      <c r="N222"/>
      <c r="O222"/>
    </row>
    <row r="223" spans="14:15">
      <c r="N223"/>
      <c r="O223"/>
    </row>
    <row r="224" spans="14:15">
      <c r="N224"/>
      <c r="O224"/>
    </row>
    <row r="225" spans="14:15">
      <c r="N225"/>
      <c r="O225"/>
    </row>
    <row r="226" spans="14:15">
      <c r="N226"/>
      <c r="O226"/>
    </row>
    <row r="227" spans="14:15">
      <c r="N227"/>
      <c r="O227"/>
    </row>
    <row r="228" spans="14:15">
      <c r="N228"/>
      <c r="O228"/>
    </row>
    <row r="229" spans="14:15">
      <c r="N229"/>
      <c r="O229"/>
    </row>
    <row r="230" spans="14:15">
      <c r="N230"/>
      <c r="O230"/>
    </row>
    <row r="231" spans="14:15">
      <c r="N231"/>
      <c r="O231"/>
    </row>
    <row r="232" spans="14:15">
      <c r="N232"/>
      <c r="O232"/>
    </row>
    <row r="233" spans="14:15">
      <c r="N233"/>
      <c r="O233"/>
    </row>
    <row r="234" spans="14:15">
      <c r="N234"/>
      <c r="O234"/>
    </row>
    <row r="235" spans="14:15">
      <c r="N235"/>
      <c r="O235"/>
    </row>
    <row r="236" spans="14:15">
      <c r="N236"/>
      <c r="O236"/>
    </row>
    <row r="237" spans="14:15">
      <c r="N237"/>
      <c r="O237"/>
    </row>
    <row r="238" spans="14:15">
      <c r="N238"/>
      <c r="O238"/>
    </row>
    <row r="239" spans="14:15">
      <c r="N239"/>
      <c r="O239"/>
    </row>
    <row r="240" spans="14:15">
      <c r="N240"/>
      <c r="O240"/>
    </row>
    <row r="241" spans="14:15">
      <c r="N241"/>
      <c r="O241"/>
    </row>
    <row r="242" spans="14:15">
      <c r="N242"/>
      <c r="O242"/>
    </row>
    <row r="243" spans="14:15">
      <c r="N243"/>
      <c r="O243"/>
    </row>
    <row r="244" spans="14:15">
      <c r="N244"/>
      <c r="O244"/>
    </row>
    <row r="245" spans="14:15">
      <c r="N245"/>
      <c r="O245"/>
    </row>
    <row r="246" spans="14:15">
      <c r="N246"/>
      <c r="O246"/>
    </row>
    <row r="247" spans="14:15">
      <c r="N247"/>
      <c r="O247"/>
    </row>
    <row r="248" spans="14:15">
      <c r="N248"/>
      <c r="O248"/>
    </row>
    <row r="249" spans="14:15">
      <c r="N249"/>
      <c r="O249"/>
    </row>
    <row r="250" spans="14:15">
      <c r="N250"/>
      <c r="O250"/>
    </row>
    <row r="251" spans="14:15">
      <c r="N251"/>
      <c r="O251"/>
    </row>
    <row r="252" spans="14:15">
      <c r="N252"/>
      <c r="O252"/>
    </row>
    <row r="253" spans="14:15">
      <c r="N253"/>
      <c r="O253"/>
    </row>
  </sheetData>
  <autoFilter ref="A3:GC4" xr:uid="{00000000-0001-0000-0000-000000000000}">
    <filterColumn colId="0" showButton="0"/>
    <filterColumn colId="7" showButton="0"/>
    <filterColumn colId="9" showButton="0"/>
    <filterColumn colId="10" showButton="0"/>
    <filterColumn colId="13" showButton="0"/>
    <filterColumn colId="14" showButton="0"/>
    <filterColumn colId="15" showButton="0"/>
  </autoFilter>
  <mergeCells count="21">
    <mergeCell ref="C5:C10"/>
    <mergeCell ref="A1:G1"/>
    <mergeCell ref="H1:Q1"/>
    <mergeCell ref="A2:Q2"/>
    <mergeCell ref="A3:B3"/>
    <mergeCell ref="H3:I3"/>
    <mergeCell ref="N3:Q3"/>
    <mergeCell ref="J3:L3"/>
    <mergeCell ref="C11:C16"/>
    <mergeCell ref="C17:C22"/>
    <mergeCell ref="C23:C32"/>
    <mergeCell ref="C33:C38"/>
    <mergeCell ref="C39:C44"/>
    <mergeCell ref="C81:C86"/>
    <mergeCell ref="C87:C93"/>
    <mergeCell ref="C58:C68"/>
    <mergeCell ref="C94:C105"/>
    <mergeCell ref="C45:C51"/>
    <mergeCell ref="C52:C57"/>
    <mergeCell ref="C69:C74"/>
    <mergeCell ref="C75:C80"/>
  </mergeCells>
  <phoneticPr fontId="7" type="noConversion"/>
  <dataValidations count="1">
    <dataValidation type="list" allowBlank="1" showInputMessage="1" showErrorMessage="1" sqref="B5:B105" xr:uid="{C295A51B-340C-4B93-A0ED-32E8BD22741B}">
      <formula1>"项目未开工,项目已开工,售后项目"</formula1>
    </dataValidation>
  </dataValidations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谭秀鹏</cp:lastModifiedBy>
  <dcterms:created xsi:type="dcterms:W3CDTF">2022-07-07T03:43:00Z</dcterms:created>
  <dcterms:modified xsi:type="dcterms:W3CDTF">2025-06-12T00:53:40Z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4AABAEF4F3DF4287BD88CA35AB7CDD39</vt:lpwstr>
  </property>
  <property fmtid="{D5CDD505-2E9C-101B-9397-08002B2CF9AE}" pid="3" name="KSOProductBuildVer">
    <vt:lpwstr>2052-11.1.0.14036</vt:lpwstr>
  </property>
</Properties>
</file>