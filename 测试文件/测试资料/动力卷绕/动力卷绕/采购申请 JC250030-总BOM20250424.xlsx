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\\10.10.10.102\杰锐思研发云桌面个人网盘\BU3\13249-谭秀鹏\D盘\1 JRS\1 杰锐思项目\1-2025年项目\JC250030瑞普印尼\1 BOM\"/>
    </mc:Choice>
  </mc:AlternateContent>
  <xr:revisionPtr revIDLastSave="0" documentId="13_ncr:1_{26425542-879E-4CB5-9778-BA425A42D09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sheet1!$A$4:$W$4</definedName>
  </definedNames>
  <calcPr calcId="181029"/>
</workbook>
</file>

<file path=xl/calcChain.xml><?xml version="1.0" encoding="utf-8"?>
<calcChain xmlns="http://schemas.openxmlformats.org/spreadsheetml/2006/main">
  <c r="M7" i="1" l="1"/>
  <c r="M27" i="1"/>
  <c r="M16" i="1"/>
  <c r="M10" i="1"/>
  <c r="M30" i="1"/>
  <c r="M31" i="1"/>
  <c r="M20" i="1" l="1"/>
  <c r="M21" i="1"/>
  <c r="M22" i="1"/>
  <c r="M17" i="1"/>
  <c r="M15" i="1"/>
  <c r="M12" i="1"/>
  <c r="M13" i="1"/>
  <c r="M14" i="1"/>
  <c r="M28" i="1" l="1"/>
  <c r="M38" i="1"/>
  <c r="M6" i="1"/>
  <c r="M8" i="1"/>
  <c r="M9" i="1"/>
  <c r="M11" i="1"/>
  <c r="M18" i="1"/>
  <c r="M19" i="1"/>
  <c r="M23" i="1"/>
  <c r="M24" i="1"/>
  <c r="M25" i="1"/>
  <c r="M26" i="1"/>
  <c r="M29" i="1"/>
  <c r="M32" i="1"/>
  <c r="M33" i="1"/>
  <c r="M34" i="1"/>
  <c r="M35" i="1"/>
  <c r="M36" i="1"/>
  <c r="M37" i="1"/>
  <c r="M39" i="1"/>
  <c r="M40" i="1"/>
  <c r="M41" i="1"/>
  <c r="M5" i="1"/>
</calcChain>
</file>

<file path=xl/sharedStrings.xml><?xml version="1.0" encoding="utf-8"?>
<sst xmlns="http://schemas.openxmlformats.org/spreadsheetml/2006/main" count="302" uniqueCount="132">
  <si>
    <t>请购部门</t>
  </si>
  <si>
    <t>BU3</t>
  </si>
  <si>
    <t>专案编号</t>
  </si>
  <si>
    <t>PM</t>
  </si>
  <si>
    <t>刘博</t>
  </si>
  <si>
    <t>工程师</t>
  </si>
  <si>
    <t>谭秀鹏</t>
  </si>
  <si>
    <t>电话</t>
  </si>
  <si>
    <t>18664952987</t>
  </si>
  <si>
    <t>序号</t>
  </si>
  <si>
    <t>类别</t>
  </si>
  <si>
    <t>工位</t>
  </si>
  <si>
    <t>物料编号</t>
  </si>
  <si>
    <t>物料名称</t>
  </si>
  <si>
    <t>型号规格/图号</t>
  </si>
  <si>
    <t>品牌/材质</t>
  </si>
  <si>
    <t>单位</t>
  </si>
  <si>
    <t>标准用量</t>
  </si>
  <si>
    <t>需求台数</t>
  </si>
  <si>
    <t>备品数量</t>
  </si>
  <si>
    <t>库存数量</t>
  </si>
  <si>
    <t>总需求数</t>
  </si>
  <si>
    <t>单价</t>
  </si>
  <si>
    <t>总价</t>
  </si>
  <si>
    <t>下单日期</t>
  </si>
  <si>
    <t>需求日期</t>
  </si>
  <si>
    <t>所属模块</t>
  </si>
  <si>
    <t>备注</t>
  </si>
  <si>
    <t>零件特性</t>
  </si>
  <si>
    <t>ERPNO</t>
  </si>
  <si>
    <t>ECN类别：分批发包/设计变更/备品自用</t>
  </si>
  <si>
    <t>设备号</t>
  </si>
  <si>
    <t>项目未开工</t>
  </si>
  <si>
    <t>线扫电源线</t>
  </si>
  <si>
    <t>IKPD-1205-H06-S05-F；高柔</t>
  </si>
  <si>
    <t>埃科</t>
  </si>
  <si>
    <t>PCS</t>
  </si>
  <si>
    <t>SW软件物料</t>
  </si>
  <si>
    <t>分批发包</t>
  </si>
  <si>
    <t>图像采集卡</t>
  </si>
  <si>
    <t>光源控制器</t>
  </si>
  <si>
    <t>沣洋</t>
  </si>
  <si>
    <t xml:space="preserve"> 公共硬件</t>
  </si>
  <si>
    <t>戴尔</t>
  </si>
  <si>
    <t>显示器电源线</t>
  </si>
  <si>
    <t>显示器电源线10米</t>
  </si>
  <si>
    <t>冠捷</t>
  </si>
  <si>
    <t>HDMI视频线</t>
  </si>
  <si>
    <t>绿联</t>
  </si>
  <si>
    <t>USB延长线 2.0公对母数据线 10米</t>
  </si>
  <si>
    <t>罗技</t>
  </si>
  <si>
    <t>工控机</t>
  </si>
  <si>
    <t>IO卡</t>
  </si>
  <si>
    <t>PCIE IO控制板卡48IO V1</t>
  </si>
  <si>
    <t>JRS</t>
  </si>
  <si>
    <t>IO卡端子板</t>
  </si>
  <si>
    <t>USB无线网卡</t>
  </si>
  <si>
    <t>TP-LINK</t>
  </si>
  <si>
    <t>TL-XDN7000免驱版</t>
  </si>
  <si>
    <t>绿联10321(带信号放大器工程级10米)</t>
  </si>
  <si>
    <t>线扫描相机</t>
  </si>
  <si>
    <t>无线键鼠</t>
  </si>
  <si>
    <t>罗技MK245 Nano</t>
  </si>
  <si>
    <t>IO 板卡面板48IO V1</t>
    <phoneticPr fontId="7" type="noConversion"/>
  </si>
  <si>
    <t>镜头</t>
    <phoneticPr fontId="7" type="noConversion"/>
  </si>
  <si>
    <t>安装在机架内</t>
    <phoneticPr fontId="7" type="noConversion"/>
  </si>
  <si>
    <t>黄色背景部分安装在设备上，需机构下单；
线材部分可通过PDM料号核对干涉；</t>
    <phoneticPr fontId="7" type="noConversion"/>
  </si>
  <si>
    <t>CL数据线</t>
  </si>
  <si>
    <t>注意电气下单</t>
    <phoneticPr fontId="7" type="noConversion"/>
  </si>
  <si>
    <t>工位1 卷绕</t>
    <phoneticPr fontId="7" type="noConversion"/>
  </si>
  <si>
    <t>PA8KCL-80KM</t>
  </si>
  <si>
    <t>黑白线扫描相机</t>
  </si>
  <si>
    <t>PL8KCL-100KT</t>
  </si>
  <si>
    <t>采集卡屏蔽触发线3米</t>
  </si>
  <si>
    <t>IKIO-F3-254-3000(3M)</t>
  </si>
  <si>
    <t>浩蓝</t>
    <phoneticPr fontId="7" type="noConversion"/>
  </si>
  <si>
    <t>锐视</t>
  </si>
  <si>
    <t>锐视</t>
    <phoneticPr fontId="7" type="noConversion"/>
  </si>
  <si>
    <t>光源控制器</t>
    <phoneticPr fontId="7" type="noConversion"/>
  </si>
  <si>
    <t>SA161-7PL5</t>
    <phoneticPr fontId="7" type="noConversion"/>
  </si>
  <si>
    <t>高柔线光延长线</t>
  </si>
  <si>
    <t>P-AHC-48W760-2TX</t>
    <phoneticPr fontId="7" type="noConversion"/>
  </si>
  <si>
    <t>高亮点光源</t>
  </si>
  <si>
    <t>SMR-SMP-3PL5</t>
    <phoneticPr fontId="7" type="noConversion"/>
  </si>
  <si>
    <t>普通点光延长线</t>
    <phoneticPr fontId="7" type="noConversion"/>
  </si>
  <si>
    <t>工位2 下料</t>
    <phoneticPr fontId="7" type="noConversion"/>
  </si>
  <si>
    <t>相机电源线(下弯头)</t>
  </si>
  <si>
    <t>弯头相机网线</t>
  </si>
  <si>
    <t>FY-HR6D-5M-GYPT</t>
    <phoneticPr fontId="7" type="noConversion"/>
  </si>
  <si>
    <t>大恒</t>
    <phoneticPr fontId="7" type="noConversion"/>
  </si>
  <si>
    <t>彩色面阵相机</t>
    <phoneticPr fontId="7" type="noConversion"/>
  </si>
  <si>
    <t>ME2C-2000-6GC</t>
    <phoneticPr fontId="7" type="noConversion"/>
  </si>
  <si>
    <t>HN-P-1224-20M-C1.1_1</t>
    <phoneticPr fontId="7" type="noConversion"/>
  </si>
  <si>
    <t>平行背光</t>
  </si>
  <si>
    <t>条光源</t>
  </si>
  <si>
    <t>P-BL2-372-38-W</t>
    <phoneticPr fontId="7" type="noConversion"/>
  </si>
  <si>
    <t>P-PHFL2-350-110-W</t>
    <phoneticPr fontId="7" type="noConversion"/>
  </si>
  <si>
    <t>P-SM-L5</t>
    <phoneticPr fontId="7" type="noConversion"/>
  </si>
  <si>
    <t>普通光源延长线</t>
    <phoneticPr fontId="7" type="noConversion"/>
  </si>
  <si>
    <t>PM-D-24W120-4T(防尘)</t>
    <phoneticPr fontId="7" type="noConversion"/>
  </si>
  <si>
    <t>显示器21.5寸</t>
    <phoneticPr fontId="7" type="noConversion"/>
  </si>
  <si>
    <t>E2223HN</t>
    <phoneticPr fontId="7" type="noConversion"/>
  </si>
  <si>
    <t>Vulcan-sCL-PE4-Full</t>
    <phoneticPr fontId="7" type="noConversion"/>
  </si>
  <si>
    <t>凌臣</t>
    <phoneticPr fontId="7" type="noConversion"/>
  </si>
  <si>
    <t>绿联1233224-10M(工程级柔软耐弯折)</t>
    <phoneticPr fontId="7" type="noConversion"/>
  </si>
  <si>
    <t xml:space="preserve"> FY-GE-BF-5M-GYPT（直头-弯头带螺丝）</t>
    <phoneticPr fontId="7" type="noConversion"/>
  </si>
  <si>
    <t>AZURE-ADM72E25</t>
    <phoneticPr fontId="7" type="noConversion"/>
  </si>
  <si>
    <t>AZURE-ADM58M72</t>
    <phoneticPr fontId="7" type="noConversion"/>
  </si>
  <si>
    <t>AZURE-ADVM58(18-29)</t>
    <phoneticPr fontId="7" type="noConversion"/>
  </si>
  <si>
    <t>镜头接圈</t>
    <phoneticPr fontId="7" type="noConversion"/>
  </si>
  <si>
    <t>镜头转接环</t>
    <phoneticPr fontId="7" type="noConversion"/>
  </si>
  <si>
    <t>镜头调焦环</t>
    <phoneticPr fontId="7" type="noConversion"/>
  </si>
  <si>
    <t>镜头</t>
    <phoneticPr fontId="7" type="noConversion"/>
  </si>
  <si>
    <t>气冷高亮线光源</t>
    <phoneticPr fontId="7" type="noConversion"/>
  </si>
  <si>
    <t>卷绕上相机部分</t>
    <phoneticPr fontId="7" type="noConversion"/>
  </si>
  <si>
    <t>ELS-40_4.8VHT</t>
    <phoneticPr fontId="7" type="noConversion"/>
  </si>
  <si>
    <t>锐视</t>
    <phoneticPr fontId="7" type="noConversion"/>
  </si>
  <si>
    <t>卷绕下相机部分</t>
    <phoneticPr fontId="7" type="noConversion"/>
  </si>
  <si>
    <t>P-NSPL-85-35-W</t>
    <phoneticPr fontId="7" type="noConversion"/>
  </si>
  <si>
    <t>P-CPL-12W60-2TS</t>
    <phoneticPr fontId="7" type="noConversion"/>
  </si>
  <si>
    <t>RK-610S2-M+LQ1277-Q670+1000W+I9-14900K+4070Ti显卡+32Gx4-DDR5600+256GSSD(M.2)+1TSSD+18T企业级垂直式硬盘x2快拆抽取式+Intel4口千兆网卡+WIN10企业版</t>
    <phoneticPr fontId="7" type="noConversion"/>
  </si>
  <si>
    <t>20250401更新</t>
    <phoneticPr fontId="7" type="noConversion"/>
  </si>
  <si>
    <t>HN-P-1624-20M-C1.1_1</t>
    <phoneticPr fontId="7" type="noConversion"/>
  </si>
  <si>
    <t>IKDC-05-CL-SS(5m高柔)</t>
    <phoneticPr fontId="7" type="noConversion"/>
  </si>
  <si>
    <t>IKDC-05-CL-SS2(5米高柔弯头)</t>
    <phoneticPr fontId="7" type="noConversion"/>
  </si>
  <si>
    <t>JC250030</t>
    <phoneticPr fontId="7" type="noConversion"/>
  </si>
  <si>
    <t>安装在外罩</t>
    <phoneticPr fontId="7" type="noConversion"/>
  </si>
  <si>
    <t>安装在外罩</t>
    <phoneticPr fontId="7" type="noConversion"/>
  </si>
  <si>
    <t>安装在机架。工控机2米走线范围内；35导轨卡扣安装；</t>
    <phoneticPr fontId="7" type="noConversion"/>
  </si>
  <si>
    <t>ELS-60_4.0VHT-0.20X</t>
    <phoneticPr fontId="7" type="noConversion"/>
  </si>
  <si>
    <t>P-LSG-350-WJRS2</t>
    <phoneticPr fontId="7" type="noConversion"/>
  </si>
  <si>
    <t>P-LSG-350-IR850JRS2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</si>
</sst>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indexed="8"/>
      <name val="等线"/>
      <charset val="1"/>
      <scheme val="minor"/>
    </font>
    <font>
      <sz val="14"/>
      <color indexed="8"/>
      <name val="宋体"/>
      <family val="3"/>
      <charset val="134"/>
    </font>
    <font>
      <sz val="12"/>
      <color theme="1"/>
      <name val="宋体"/>
      <family val="3"/>
      <charset val="134"/>
    </font>
    <font>
      <sz val="12"/>
      <name val="宋体"/>
      <family val="3"/>
      <charset val="134"/>
    </font>
    <font>
      <sz val="12"/>
      <color rgb="FF000000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11"/>
      <color indexed="8"/>
      <name val="宋体"/>
      <family val="3"/>
      <charset val="134"/>
    </font>
    <font>
      <sz val="9"/>
      <name val="等线"/>
      <family val="3"/>
      <charset val="134"/>
      <scheme val="minor"/>
    </font>
    <font>
      <sz val="12"/>
      <color rgb="FFFF0000"/>
      <name val="宋体"/>
      <family val="3"/>
      <charset val="134"/>
    </font>
    <font>
      <sz val="9"/>
      <name val="宋体"/>
      <family val="3"/>
      <charset val="134"/>
    </font>
    <font>
      <b/>
      <sz val="12"/>
      <color rgb="FFFF0000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20651875362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/>
    <xf numFmtId="0" fontId="6" fillId="0" borderId="0"/>
  </cellStyleXfs>
  <cellXfs count="69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2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1" fillId="2" borderId="0" xfId="0" applyFont="1" applyFill="1">
      <alignment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4" borderId="1" xfId="2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0" fontId="2" fillId="2" borderId="1" xfId="2" applyFont="1" applyFill="1" applyBorder="1" applyAlignment="1">
      <alignment horizontal="center" vertical="center" wrapText="1"/>
    </xf>
    <xf numFmtId="0" fontId="2" fillId="2" borderId="4" xfId="2" applyFont="1" applyFill="1" applyBorder="1" applyAlignment="1">
      <alignment horizontal="center" vertical="center" wrapText="1"/>
    </xf>
    <xf numFmtId="0" fontId="2" fillId="5" borderId="4" xfId="2" applyFont="1" applyFill="1" applyBorder="1" applyAlignment="1">
      <alignment horizontal="center" vertical="center" wrapText="1"/>
    </xf>
    <xf numFmtId="0" fontId="2" fillId="5" borderId="1" xfId="2" applyFont="1" applyFill="1" applyBorder="1" applyAlignment="1">
      <alignment horizontal="center" vertical="center" wrapText="1"/>
    </xf>
    <xf numFmtId="0" fontId="2" fillId="4" borderId="2" xfId="2" applyFont="1" applyFill="1" applyBorder="1" applyAlignment="1">
      <alignment horizontal="center" vertical="center" wrapText="1"/>
    </xf>
    <xf numFmtId="0" fontId="2" fillId="2" borderId="2" xfId="2" applyFont="1" applyFill="1" applyBorder="1" applyAlignment="1">
      <alignment horizontal="center" vertical="center" wrapText="1"/>
    </xf>
    <xf numFmtId="0" fontId="2" fillId="4" borderId="4" xfId="2" applyFont="1" applyFill="1" applyBorder="1" applyAlignment="1">
      <alignment horizontal="center" vertical="center" wrapText="1"/>
    </xf>
    <xf numFmtId="0" fontId="2" fillId="4" borderId="6" xfId="2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4" borderId="1" xfId="1" applyFont="1" applyFill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0" fontId="6" fillId="0" borderId="0" xfId="0" applyFont="1">
      <alignment vertical="center"/>
    </xf>
    <xf numFmtId="0" fontId="2" fillId="2" borderId="1" xfId="0" applyFont="1" applyFill="1" applyBorder="1">
      <alignment vertical="center"/>
    </xf>
    <xf numFmtId="0" fontId="2" fillId="2" borderId="1" xfId="0" applyFont="1" applyFill="1" applyBorder="1" applyAlignment="1">
      <alignment horizontal="left" vertical="center" wrapText="1"/>
    </xf>
    <xf numFmtId="0" fontId="6" fillId="2" borderId="0" xfId="0" applyFont="1" applyFill="1">
      <alignment vertical="center"/>
    </xf>
    <xf numFmtId="0" fontId="2" fillId="2" borderId="1" xfId="0" applyFont="1" applyFill="1" applyBorder="1" applyAlignment="1">
      <alignment vertical="center" wrapText="1"/>
    </xf>
    <xf numFmtId="0" fontId="2" fillId="5" borderId="1" xfId="0" applyFont="1" applyFill="1" applyBorder="1">
      <alignment vertical="center"/>
    </xf>
    <xf numFmtId="0" fontId="2" fillId="4" borderId="1" xfId="0" applyFont="1" applyFill="1" applyBorder="1">
      <alignment vertical="center"/>
    </xf>
    <xf numFmtId="0" fontId="8" fillId="4" borderId="1" xfId="0" applyFont="1" applyFill="1" applyBorder="1" applyAlignment="1">
      <alignment horizontal="left" vertical="center" wrapText="1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2" fillId="2" borderId="5" xfId="0" applyFont="1" applyFill="1" applyBorder="1" applyAlignment="1">
      <alignment horizontal="center" vertical="center" wrapText="1"/>
    </xf>
    <xf numFmtId="0" fontId="6" fillId="3" borderId="0" xfId="0" applyFont="1" applyFill="1">
      <alignment vertical="center"/>
    </xf>
    <xf numFmtId="0" fontId="3" fillId="0" borderId="0" xfId="0" applyFont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14" fontId="3" fillId="2" borderId="1" xfId="2" applyNumberFormat="1" applyFont="1" applyFill="1" applyBorder="1" applyAlignment="1">
      <alignment horizontal="center" vertical="center" wrapText="1"/>
    </xf>
    <xf numFmtId="0" fontId="3" fillId="4" borderId="2" xfId="2" applyFont="1" applyFill="1" applyBorder="1" applyAlignment="1">
      <alignment horizontal="center" vertical="center" wrapText="1"/>
    </xf>
    <xf numFmtId="0" fontId="3" fillId="4" borderId="1" xfId="2" applyFont="1" applyFill="1" applyBorder="1" applyAlignment="1">
      <alignment horizontal="center" vertical="center" wrapText="1"/>
    </xf>
    <xf numFmtId="0" fontId="3" fillId="4" borderId="1" xfId="0" applyFont="1" applyFill="1" applyBorder="1">
      <alignment vertical="center"/>
    </xf>
    <xf numFmtId="0" fontId="3" fillId="4" borderId="1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textRotation="255" wrapText="1"/>
    </xf>
    <xf numFmtId="0" fontId="2" fillId="2" borderId="5" xfId="0" applyFont="1" applyFill="1" applyBorder="1" applyAlignment="1">
      <alignment horizontal="center" vertical="center" textRotation="255" wrapText="1"/>
    </xf>
    <xf numFmtId="0" fontId="2" fillId="2" borderId="8" xfId="0" applyFont="1" applyFill="1" applyBorder="1" applyAlignment="1">
      <alignment horizontal="center" vertical="center" textRotation="255" wrapText="1"/>
    </xf>
    <xf numFmtId="0" fontId="2" fillId="2" borderId="1" xfId="0" applyFont="1" applyFill="1" applyBorder="1" applyAlignment="1">
      <alignment horizontal="center" vertical="center" textRotation="255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center" vertical="center" wrapText="1"/>
    </xf>
    <xf numFmtId="0" fontId="10" fillId="4" borderId="0" xfId="0" applyFont="1" applyFill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left" vertical="center" wrapText="1"/>
    </xf>
    <xf numFmtId="0" fontId="2" fillId="2" borderId="8" xfId="0" applyFont="1" applyFill="1" applyBorder="1" applyAlignment="1">
      <alignment horizontal="left" vertical="center" wrapText="1"/>
    </xf>
    <xf numFmtId="0" fontId="8" fillId="4" borderId="2" xfId="2" applyFont="1" applyFill="1" applyBorder="1" applyAlignment="1">
      <alignment horizontal="center" vertical="center" wrapText="1"/>
    </xf>
    <xf numFmtId="0" fontId="8" fillId="4" borderId="1" xfId="2" applyFont="1" applyFill="1" applyBorder="1" applyAlignment="1">
      <alignment horizontal="center" vertical="center" wrapText="1"/>
    </xf>
  </cellXfs>
  <cellStyles count="5">
    <cellStyle name="常规" xfId="0" builtinId="0"/>
    <cellStyle name="常规 11" xfId="1" xr:uid="{00000000-0005-0000-0000-000031000000}"/>
    <cellStyle name="常规 2" xfId="2" xr:uid="{00000000-0005-0000-0000-000032000000}"/>
    <cellStyle name="常规 3" xfId="3" xr:uid="{00000000-0005-0000-0000-000033000000}"/>
    <cellStyle name="普通 3" xfId="4" xr:uid="{00000000-0005-0000-0000-000034000000}"/>
  </cellStyles>
  <dxfs count="5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16329</xdr:colOff>
      <xdr:row>0</xdr:row>
      <xdr:rowOff>537713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798050" cy="53721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304800</xdr:colOff>
      <xdr:row>7</xdr:row>
      <xdr:rowOff>304800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B3873204-E697-C0C7-0B0B-5FEF82880D44}"/>
            </a:ext>
          </a:extLst>
        </xdr:cNvPr>
        <xdr:cNvSpPr>
          <a:spLocks noChangeAspect="1" noChangeArrowheads="1"/>
        </xdr:cNvSpPr>
      </xdr:nvSpPr>
      <xdr:spPr bwMode="auto">
        <a:xfrm>
          <a:off x="9782175" y="3257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I280"/>
  <sheetViews>
    <sheetView tabSelected="1" topLeftCell="A4" zoomScale="85" zoomScaleNormal="85" workbookViewId="0">
      <selection activeCell="E19" sqref="E19"/>
    </sheetView>
  </sheetViews>
  <sheetFormatPr defaultColWidth="10" defaultRowHeight="13.5" x14ac:dyDescent="0.2"/>
  <cols>
    <col min="1" max="1" width="6" style="28" customWidth="1"/>
    <col min="2" max="2" width="8.625" style="36" customWidth="1"/>
    <col min="3" max="3" width="6.875" style="36" customWidth="1"/>
    <col min="4" max="4" width="13.5" style="28" customWidth="1"/>
    <col min="5" max="5" width="17.875" style="28" customWidth="1"/>
    <col min="6" max="6" width="41.5" style="28" customWidth="1"/>
    <col min="7" max="7" width="13.25" style="28" customWidth="1"/>
    <col min="8" max="8" width="5.75" style="28" customWidth="1"/>
    <col min="9" max="9" width="7" style="37" customWidth="1"/>
    <col min="10" max="10" width="6.375" style="28" customWidth="1"/>
    <col min="11" max="12" width="3.375" style="28" customWidth="1"/>
    <col min="13" max="13" width="7.25" style="28" customWidth="1"/>
    <col min="14" max="14" width="7.25" style="40" hidden="1" customWidth="1"/>
    <col min="15" max="15" width="17.125" style="40" hidden="1" customWidth="1"/>
    <col min="16" max="17" width="10.875" style="40" customWidth="1"/>
    <col min="18" max="18" width="14.125" style="28" customWidth="1"/>
    <col min="19" max="19" width="37" style="38" customWidth="1"/>
    <col min="20" max="20" width="14.125" style="28" customWidth="1"/>
    <col min="21" max="21" width="12.875" style="28" customWidth="1"/>
    <col min="22" max="22" width="8" style="28" customWidth="1"/>
    <col min="23" max="23" width="16.875" style="28" customWidth="1"/>
    <col min="24" max="24" width="9.75" style="28" customWidth="1"/>
    <col min="25" max="16384" width="10" style="28"/>
  </cols>
  <sheetData>
    <row r="1" spans="1:191" ht="48.95" customHeight="1" x14ac:dyDescent="0.2">
      <c r="A1" s="57"/>
      <c r="B1" s="57"/>
      <c r="C1" s="57"/>
      <c r="D1" s="57"/>
      <c r="E1" s="57"/>
      <c r="F1" s="57"/>
      <c r="G1" s="57"/>
      <c r="H1" s="57"/>
      <c r="I1" s="58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</row>
    <row r="2" spans="1:191" s="1" customFormat="1" ht="60" customHeight="1" x14ac:dyDescent="0.2">
      <c r="A2" s="59" t="s">
        <v>66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41"/>
    </row>
    <row r="3" spans="1:191" s="1" customFormat="1" ht="30" customHeight="1" x14ac:dyDescent="0.2">
      <c r="A3" s="60" t="s">
        <v>0</v>
      </c>
      <c r="B3" s="60"/>
      <c r="C3" s="42" t="s">
        <v>1</v>
      </c>
      <c r="D3" s="25" t="s">
        <v>2</v>
      </c>
      <c r="E3" s="25" t="s">
        <v>125</v>
      </c>
      <c r="F3" s="25" t="s">
        <v>3</v>
      </c>
      <c r="G3" s="25" t="s">
        <v>4</v>
      </c>
      <c r="H3" s="60" t="s">
        <v>5</v>
      </c>
      <c r="I3" s="60"/>
      <c r="J3" s="61" t="s">
        <v>6</v>
      </c>
      <c r="K3" s="62"/>
      <c r="L3" s="63"/>
      <c r="M3" s="25" t="s">
        <v>7</v>
      </c>
      <c r="N3" s="60">
        <v>18664952987</v>
      </c>
      <c r="O3" s="60"/>
      <c r="P3" s="25"/>
      <c r="Q3" s="25"/>
      <c r="R3" s="44" t="s">
        <v>8</v>
      </c>
      <c r="S3" s="45"/>
      <c r="T3" s="25"/>
      <c r="U3" s="25"/>
      <c r="V3" s="25"/>
      <c r="W3" s="25"/>
    </row>
    <row r="4" spans="1:191" s="1" customFormat="1" ht="50.25" customHeight="1" x14ac:dyDescent="0.2">
      <c r="A4" s="25" t="s">
        <v>9</v>
      </c>
      <c r="B4" s="43" t="s">
        <v>10</v>
      </c>
      <c r="C4" s="43" t="s">
        <v>11</v>
      </c>
      <c r="D4" s="25" t="s">
        <v>12</v>
      </c>
      <c r="E4" s="25" t="s">
        <v>13</v>
      </c>
      <c r="F4" s="25" t="s">
        <v>14</v>
      </c>
      <c r="G4" s="25" t="s">
        <v>15</v>
      </c>
      <c r="H4" s="25" t="s">
        <v>16</v>
      </c>
      <c r="I4" s="25" t="s">
        <v>17</v>
      </c>
      <c r="J4" s="25" t="s">
        <v>18</v>
      </c>
      <c r="K4" s="25" t="s">
        <v>19</v>
      </c>
      <c r="L4" s="25" t="s">
        <v>20</v>
      </c>
      <c r="M4" s="25" t="s">
        <v>21</v>
      </c>
      <c r="N4" s="46" t="s">
        <v>22</v>
      </c>
      <c r="O4" s="46" t="s">
        <v>23</v>
      </c>
      <c r="P4" s="46" t="s">
        <v>24</v>
      </c>
      <c r="Q4" s="46" t="s">
        <v>25</v>
      </c>
      <c r="R4" s="25" t="s">
        <v>26</v>
      </c>
      <c r="S4" s="25" t="s">
        <v>27</v>
      </c>
      <c r="T4" s="25" t="s">
        <v>28</v>
      </c>
      <c r="U4" s="25" t="s">
        <v>29</v>
      </c>
      <c r="V4" s="25" t="s">
        <v>30</v>
      </c>
      <c r="W4" s="25" t="s">
        <v>31</v>
      </c>
    </row>
    <row r="5" spans="1:191" s="31" customFormat="1" ht="28.5" customHeight="1" x14ac:dyDescent="0.2">
      <c r="A5" s="2">
        <v>1</v>
      </c>
      <c r="B5" s="3" t="s">
        <v>32</v>
      </c>
      <c r="C5" s="53" t="s">
        <v>69</v>
      </c>
      <c r="D5" s="18">
        <v>3001000044</v>
      </c>
      <c r="E5" s="17" t="s">
        <v>33</v>
      </c>
      <c r="F5" s="17" t="s">
        <v>34</v>
      </c>
      <c r="G5" s="17" t="s">
        <v>35</v>
      </c>
      <c r="H5" s="2" t="s">
        <v>36</v>
      </c>
      <c r="I5" s="2">
        <v>2</v>
      </c>
      <c r="J5" s="2">
        <v>28</v>
      </c>
      <c r="K5" s="29"/>
      <c r="L5" s="29"/>
      <c r="M5" s="2">
        <f>J5*I5</f>
        <v>56</v>
      </c>
      <c r="N5" s="6"/>
      <c r="O5" s="6"/>
      <c r="P5" s="7">
        <v>45723</v>
      </c>
      <c r="Q5" s="7">
        <v>45724</v>
      </c>
      <c r="R5" s="2" t="s">
        <v>37</v>
      </c>
      <c r="S5" s="30"/>
      <c r="T5" s="29"/>
      <c r="U5" s="2"/>
      <c r="V5" s="47" t="s">
        <v>38</v>
      </c>
      <c r="W5" s="2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  <c r="CX5" s="9"/>
      <c r="CY5" s="9"/>
      <c r="CZ5" s="9"/>
      <c r="DA5" s="9"/>
      <c r="DB5" s="9"/>
      <c r="DC5" s="9"/>
      <c r="DD5" s="9"/>
      <c r="DE5" s="9"/>
      <c r="DF5" s="9"/>
      <c r="DG5" s="9"/>
      <c r="DH5" s="9"/>
      <c r="DI5" s="9"/>
      <c r="DJ5" s="9"/>
      <c r="DK5" s="9"/>
      <c r="DL5" s="9"/>
      <c r="DM5" s="9"/>
      <c r="DN5" s="9"/>
      <c r="DO5" s="9"/>
      <c r="DP5" s="9"/>
      <c r="DQ5" s="9"/>
      <c r="DR5" s="9"/>
      <c r="DS5" s="9"/>
      <c r="DT5" s="9"/>
      <c r="DU5" s="9"/>
      <c r="DV5" s="9"/>
      <c r="DW5" s="9"/>
      <c r="DX5" s="9"/>
      <c r="DY5" s="9"/>
      <c r="DZ5" s="9"/>
      <c r="EA5" s="9"/>
      <c r="EB5" s="9"/>
      <c r="EC5" s="9"/>
      <c r="ED5" s="9"/>
      <c r="EE5" s="9"/>
      <c r="EF5" s="9"/>
      <c r="EG5" s="9"/>
      <c r="EH5" s="9"/>
      <c r="EI5" s="9"/>
      <c r="EJ5" s="9"/>
      <c r="EK5" s="9"/>
      <c r="EL5" s="9"/>
      <c r="EM5" s="9"/>
      <c r="EN5" s="9"/>
      <c r="EO5" s="9"/>
      <c r="EP5" s="9"/>
      <c r="EQ5" s="9"/>
      <c r="ER5" s="9"/>
      <c r="ES5" s="9"/>
      <c r="ET5" s="9"/>
      <c r="EU5" s="9"/>
      <c r="EV5" s="9"/>
      <c r="EW5" s="9"/>
      <c r="EX5" s="9"/>
      <c r="EY5" s="9"/>
      <c r="EZ5" s="9"/>
      <c r="FA5" s="9"/>
      <c r="FB5" s="9"/>
      <c r="FC5" s="9"/>
      <c r="FD5" s="9"/>
      <c r="FE5" s="9"/>
      <c r="FF5" s="9"/>
      <c r="FG5" s="9"/>
      <c r="FH5" s="9"/>
      <c r="FI5" s="9"/>
      <c r="FJ5" s="9"/>
      <c r="FK5" s="9"/>
      <c r="FL5" s="9"/>
      <c r="FM5" s="9"/>
      <c r="FN5" s="9"/>
      <c r="FO5" s="9"/>
      <c r="FP5" s="9"/>
      <c r="FQ5" s="9"/>
      <c r="FR5" s="9"/>
      <c r="FS5" s="9"/>
      <c r="FT5" s="9"/>
      <c r="FU5" s="9"/>
      <c r="FV5" s="9"/>
      <c r="FW5" s="9"/>
      <c r="FX5" s="9"/>
      <c r="FY5" s="9"/>
      <c r="FZ5" s="9"/>
      <c r="GA5" s="9"/>
      <c r="GB5" s="9"/>
      <c r="GC5" s="9"/>
      <c r="GD5" s="9"/>
      <c r="GE5" s="9"/>
      <c r="GF5" s="9"/>
      <c r="GG5" s="9"/>
      <c r="GH5" s="9"/>
      <c r="GI5" s="9"/>
    </row>
    <row r="6" spans="1:191" ht="28.5" customHeight="1" x14ac:dyDescent="0.2">
      <c r="A6" s="2">
        <v>2</v>
      </c>
      <c r="B6" s="3" t="s">
        <v>32</v>
      </c>
      <c r="C6" s="54"/>
      <c r="D6" s="18">
        <v>3001000040</v>
      </c>
      <c r="E6" s="17" t="s">
        <v>67</v>
      </c>
      <c r="F6" s="17" t="s">
        <v>123</v>
      </c>
      <c r="G6" s="17" t="s">
        <v>35</v>
      </c>
      <c r="H6" s="2" t="s">
        <v>36</v>
      </c>
      <c r="I6" s="2">
        <v>2</v>
      </c>
      <c r="J6" s="2">
        <v>28</v>
      </c>
      <c r="K6" s="29"/>
      <c r="L6" s="29"/>
      <c r="M6" s="2">
        <f t="shared" ref="M6:M41" si="0">J6*I6</f>
        <v>56</v>
      </c>
      <c r="N6" s="6"/>
      <c r="O6" s="6"/>
      <c r="P6" s="7">
        <v>45723</v>
      </c>
      <c r="Q6" s="7">
        <v>45724</v>
      </c>
      <c r="R6" s="2" t="s">
        <v>37</v>
      </c>
      <c r="S6" s="32"/>
      <c r="T6" s="29"/>
      <c r="U6" s="2"/>
      <c r="V6" s="47" t="s">
        <v>38</v>
      </c>
      <c r="W6" s="2"/>
    </row>
    <row r="7" spans="1:191" ht="28.5" customHeight="1" x14ac:dyDescent="0.2">
      <c r="A7" s="2"/>
      <c r="B7" s="3"/>
      <c r="C7" s="54"/>
      <c r="D7" s="18">
        <v>3001000123</v>
      </c>
      <c r="E7" s="17" t="s">
        <v>67</v>
      </c>
      <c r="F7" s="17" t="s">
        <v>124</v>
      </c>
      <c r="G7" s="17" t="s">
        <v>35</v>
      </c>
      <c r="H7" s="2" t="s">
        <v>36</v>
      </c>
      <c r="I7" s="2">
        <v>2</v>
      </c>
      <c r="J7" s="2">
        <v>28</v>
      </c>
      <c r="K7" s="29"/>
      <c r="L7" s="29"/>
      <c r="M7" s="2">
        <f t="shared" ref="M7" si="1">J7*I7</f>
        <v>56</v>
      </c>
      <c r="N7" s="6"/>
      <c r="O7" s="6"/>
      <c r="P7" s="7">
        <v>45723</v>
      </c>
      <c r="Q7" s="7">
        <v>45724</v>
      </c>
      <c r="R7" s="2" t="s">
        <v>37</v>
      </c>
      <c r="S7" s="32"/>
      <c r="T7" s="29"/>
      <c r="U7" s="2"/>
      <c r="V7" s="47"/>
      <c r="W7" s="2"/>
    </row>
    <row r="8" spans="1:191" ht="28.5" customHeight="1" x14ac:dyDescent="0.2">
      <c r="A8" s="2">
        <v>3</v>
      </c>
      <c r="B8" s="3" t="s">
        <v>32</v>
      </c>
      <c r="C8" s="54"/>
      <c r="D8" s="19">
        <v>3002000009</v>
      </c>
      <c r="E8" s="20" t="s">
        <v>73</v>
      </c>
      <c r="F8" s="20" t="s">
        <v>74</v>
      </c>
      <c r="G8" s="20" t="s">
        <v>35</v>
      </c>
      <c r="H8" s="15" t="s">
        <v>36</v>
      </c>
      <c r="I8" s="15">
        <v>2</v>
      </c>
      <c r="J8" s="2">
        <v>28</v>
      </c>
      <c r="K8" s="33"/>
      <c r="L8" s="33"/>
      <c r="M8" s="15">
        <f t="shared" si="0"/>
        <v>56</v>
      </c>
      <c r="N8" s="16"/>
      <c r="O8" s="16"/>
      <c r="P8" s="7">
        <v>45723</v>
      </c>
      <c r="Q8" s="7">
        <v>45724</v>
      </c>
      <c r="R8" s="2" t="s">
        <v>37</v>
      </c>
      <c r="S8" s="32" t="s">
        <v>68</v>
      </c>
      <c r="T8" s="29"/>
      <c r="U8" s="2"/>
      <c r="V8" s="47" t="s">
        <v>38</v>
      </c>
      <c r="W8" s="2"/>
    </row>
    <row r="9" spans="1:191" ht="28.5" customHeight="1" x14ac:dyDescent="0.2">
      <c r="A9" s="2">
        <v>4</v>
      </c>
      <c r="B9" s="3" t="s">
        <v>32</v>
      </c>
      <c r="C9" s="54"/>
      <c r="D9" s="21">
        <v>4000000022</v>
      </c>
      <c r="E9" s="21" t="s">
        <v>60</v>
      </c>
      <c r="F9" s="12" t="s">
        <v>70</v>
      </c>
      <c r="G9" s="21" t="s">
        <v>35</v>
      </c>
      <c r="H9" s="10" t="s">
        <v>36</v>
      </c>
      <c r="I9" s="10">
        <v>1</v>
      </c>
      <c r="J9" s="10">
        <v>28</v>
      </c>
      <c r="K9" s="34"/>
      <c r="L9" s="34"/>
      <c r="M9" s="10">
        <f t="shared" si="0"/>
        <v>28</v>
      </c>
      <c r="N9" s="11"/>
      <c r="O9" s="11"/>
      <c r="P9" s="7">
        <v>45723</v>
      </c>
      <c r="Q9" s="7">
        <v>45724</v>
      </c>
      <c r="R9" s="2" t="s">
        <v>37</v>
      </c>
      <c r="S9" s="64" t="s">
        <v>114</v>
      </c>
      <c r="T9" s="29"/>
      <c r="U9" s="2"/>
      <c r="V9" s="47" t="s">
        <v>38</v>
      </c>
      <c r="W9" s="2"/>
    </row>
    <row r="10" spans="1:191" ht="28.5" customHeight="1" x14ac:dyDescent="0.2">
      <c r="A10" s="2">
        <v>5</v>
      </c>
      <c r="B10" s="3" t="s">
        <v>32</v>
      </c>
      <c r="C10" s="54"/>
      <c r="D10" s="21">
        <v>4100000140</v>
      </c>
      <c r="E10" s="21" t="s">
        <v>109</v>
      </c>
      <c r="F10" s="12" t="s">
        <v>106</v>
      </c>
      <c r="G10" s="21" t="s">
        <v>75</v>
      </c>
      <c r="H10" s="10" t="s">
        <v>36</v>
      </c>
      <c r="I10" s="10">
        <v>1</v>
      </c>
      <c r="J10" s="10">
        <v>28</v>
      </c>
      <c r="K10" s="34"/>
      <c r="L10" s="34"/>
      <c r="M10" s="10">
        <f t="shared" ref="M10" si="2">J10*I10</f>
        <v>28</v>
      </c>
      <c r="N10" s="11"/>
      <c r="O10" s="11"/>
      <c r="P10" s="7">
        <v>45723</v>
      </c>
      <c r="Q10" s="7">
        <v>45724</v>
      </c>
      <c r="R10" s="2" t="s">
        <v>37</v>
      </c>
      <c r="S10" s="65"/>
      <c r="T10" s="29"/>
      <c r="U10" s="2"/>
      <c r="V10" s="47" t="s">
        <v>38</v>
      </c>
      <c r="W10" s="2"/>
    </row>
    <row r="11" spans="1:191" s="31" customFormat="1" ht="28.5" customHeight="1" x14ac:dyDescent="0.2">
      <c r="A11" s="2">
        <v>6</v>
      </c>
      <c r="B11" s="3" t="s">
        <v>32</v>
      </c>
      <c r="C11" s="54"/>
      <c r="D11" s="21">
        <v>4100000149</v>
      </c>
      <c r="E11" s="21" t="s">
        <v>110</v>
      </c>
      <c r="F11" s="12" t="s">
        <v>107</v>
      </c>
      <c r="G11" s="21" t="s">
        <v>75</v>
      </c>
      <c r="H11" s="10" t="s">
        <v>36</v>
      </c>
      <c r="I11" s="10">
        <v>1</v>
      </c>
      <c r="J11" s="10">
        <v>28</v>
      </c>
      <c r="K11" s="34"/>
      <c r="L11" s="34"/>
      <c r="M11" s="10">
        <f t="shared" si="0"/>
        <v>28</v>
      </c>
      <c r="N11" s="11"/>
      <c r="O11" s="11"/>
      <c r="P11" s="7">
        <v>45723</v>
      </c>
      <c r="Q11" s="7">
        <v>45724</v>
      </c>
      <c r="R11" s="2" t="s">
        <v>37</v>
      </c>
      <c r="S11" s="65"/>
      <c r="T11" s="29"/>
      <c r="U11" s="2"/>
      <c r="V11" s="47" t="s">
        <v>38</v>
      </c>
      <c r="W11" s="2"/>
    </row>
    <row r="12" spans="1:191" s="31" customFormat="1" ht="28.5" customHeight="1" x14ac:dyDescent="0.2">
      <c r="A12" s="2">
        <v>7</v>
      </c>
      <c r="B12" s="3" t="s">
        <v>32</v>
      </c>
      <c r="C12" s="54"/>
      <c r="D12" s="21">
        <v>4100000150</v>
      </c>
      <c r="E12" s="21" t="s">
        <v>111</v>
      </c>
      <c r="F12" s="12" t="s">
        <v>108</v>
      </c>
      <c r="G12" s="21" t="s">
        <v>75</v>
      </c>
      <c r="H12" s="10" t="s">
        <v>36</v>
      </c>
      <c r="I12" s="10">
        <v>1</v>
      </c>
      <c r="J12" s="10">
        <v>28</v>
      </c>
      <c r="K12" s="34"/>
      <c r="L12" s="34"/>
      <c r="M12" s="10">
        <f t="shared" si="0"/>
        <v>28</v>
      </c>
      <c r="N12" s="11"/>
      <c r="O12" s="11"/>
      <c r="P12" s="7">
        <v>45723</v>
      </c>
      <c r="Q12" s="7">
        <v>45724</v>
      </c>
      <c r="R12" s="2" t="s">
        <v>37</v>
      </c>
      <c r="S12" s="65"/>
      <c r="T12" s="29"/>
      <c r="U12" s="2"/>
      <c r="V12" s="47" t="s">
        <v>38</v>
      </c>
      <c r="W12" s="2"/>
    </row>
    <row r="13" spans="1:191" s="31" customFormat="1" ht="28.5" customHeight="1" x14ac:dyDescent="0.2">
      <c r="A13" s="2">
        <v>8</v>
      </c>
      <c r="B13" s="3" t="s">
        <v>32</v>
      </c>
      <c r="C13" s="54"/>
      <c r="D13" s="67">
        <v>4100000170</v>
      </c>
      <c r="E13" s="67" t="s">
        <v>112</v>
      </c>
      <c r="F13" s="68" t="s">
        <v>129</v>
      </c>
      <c r="G13" s="67" t="s">
        <v>75</v>
      </c>
      <c r="H13" s="10" t="s">
        <v>36</v>
      </c>
      <c r="I13" s="10">
        <v>1</v>
      </c>
      <c r="J13" s="10">
        <v>28</v>
      </c>
      <c r="K13" s="34"/>
      <c r="L13" s="34"/>
      <c r="M13" s="10">
        <f t="shared" si="0"/>
        <v>28</v>
      </c>
      <c r="N13" s="11"/>
      <c r="O13" s="11"/>
      <c r="P13" s="7">
        <v>45723</v>
      </c>
      <c r="Q13" s="7">
        <v>45724</v>
      </c>
      <c r="R13" s="2" t="s">
        <v>37</v>
      </c>
      <c r="S13" s="65"/>
      <c r="T13" s="29"/>
      <c r="U13" s="2"/>
      <c r="V13" s="47" t="s">
        <v>38</v>
      </c>
      <c r="W13" s="2"/>
    </row>
    <row r="14" spans="1:191" s="31" customFormat="1" ht="28.5" customHeight="1" x14ac:dyDescent="0.2">
      <c r="A14" s="2">
        <v>9</v>
      </c>
      <c r="B14" s="3" t="s">
        <v>32</v>
      </c>
      <c r="C14" s="54"/>
      <c r="D14" s="67">
        <v>4201000230</v>
      </c>
      <c r="E14" s="67" t="s">
        <v>113</v>
      </c>
      <c r="F14" s="68" t="s">
        <v>130</v>
      </c>
      <c r="G14" s="67" t="s">
        <v>77</v>
      </c>
      <c r="H14" s="10" t="s">
        <v>36</v>
      </c>
      <c r="I14" s="10">
        <v>1</v>
      </c>
      <c r="J14" s="10">
        <v>28</v>
      </c>
      <c r="K14" s="34"/>
      <c r="L14" s="34"/>
      <c r="M14" s="10">
        <f t="shared" si="0"/>
        <v>28</v>
      </c>
      <c r="N14" s="11"/>
      <c r="O14" s="11"/>
      <c r="P14" s="7">
        <v>45723</v>
      </c>
      <c r="Q14" s="7">
        <v>45724</v>
      </c>
      <c r="R14" s="2" t="s">
        <v>37</v>
      </c>
      <c r="S14" s="66"/>
      <c r="T14" s="29"/>
      <c r="U14" s="2"/>
      <c r="V14" s="47" t="s">
        <v>38</v>
      </c>
      <c r="W14" s="2"/>
    </row>
    <row r="15" spans="1:191" s="31" customFormat="1" ht="28.5" customHeight="1" x14ac:dyDescent="0.2">
      <c r="A15" s="2">
        <v>10</v>
      </c>
      <c r="B15" s="3" t="s">
        <v>32</v>
      </c>
      <c r="C15" s="54"/>
      <c r="D15" s="21">
        <v>4000000070</v>
      </c>
      <c r="E15" s="21" t="s">
        <v>71</v>
      </c>
      <c r="F15" s="12" t="s">
        <v>72</v>
      </c>
      <c r="G15" s="21" t="s">
        <v>35</v>
      </c>
      <c r="H15" s="10" t="s">
        <v>36</v>
      </c>
      <c r="I15" s="10">
        <v>1</v>
      </c>
      <c r="J15" s="10">
        <v>28</v>
      </c>
      <c r="K15" s="34"/>
      <c r="L15" s="34"/>
      <c r="M15" s="10">
        <f t="shared" ref="M15" si="3">J15*I15</f>
        <v>28</v>
      </c>
      <c r="N15" s="11"/>
      <c r="O15" s="11"/>
      <c r="P15" s="7">
        <v>45723</v>
      </c>
      <c r="Q15" s="7">
        <v>45724</v>
      </c>
      <c r="R15" s="2" t="s">
        <v>37</v>
      </c>
      <c r="S15" s="64" t="s">
        <v>117</v>
      </c>
      <c r="T15" s="29"/>
      <c r="U15" s="2"/>
      <c r="V15" s="47" t="s">
        <v>38</v>
      </c>
      <c r="W15" s="2"/>
    </row>
    <row r="16" spans="1:191" s="31" customFormat="1" ht="28.5" customHeight="1" x14ac:dyDescent="0.2">
      <c r="A16" s="2"/>
      <c r="B16" s="3"/>
      <c r="C16" s="54"/>
      <c r="D16" s="21">
        <v>4100000154</v>
      </c>
      <c r="E16" s="21" t="s">
        <v>112</v>
      </c>
      <c r="F16" s="12" t="s">
        <v>115</v>
      </c>
      <c r="G16" s="21" t="s">
        <v>75</v>
      </c>
      <c r="H16" s="10" t="s">
        <v>36</v>
      </c>
      <c r="I16" s="10">
        <v>1</v>
      </c>
      <c r="J16" s="10">
        <v>28</v>
      </c>
      <c r="K16" s="34"/>
      <c r="L16" s="34"/>
      <c r="M16" s="10">
        <f t="shared" ref="M16" si="4">J16*I16</f>
        <v>28</v>
      </c>
      <c r="N16" s="11"/>
      <c r="O16" s="11"/>
      <c r="P16" s="7">
        <v>45723</v>
      </c>
      <c r="Q16" s="7">
        <v>45724</v>
      </c>
      <c r="R16" s="2" t="s">
        <v>37</v>
      </c>
      <c r="S16" s="65"/>
      <c r="T16" s="29"/>
      <c r="U16" s="2"/>
      <c r="V16" s="47" t="s">
        <v>38</v>
      </c>
      <c r="W16" s="2"/>
    </row>
    <row r="17" spans="1:23" s="31" customFormat="1" ht="28.5" customHeight="1" x14ac:dyDescent="0.2">
      <c r="A17" s="2">
        <v>11</v>
      </c>
      <c r="B17" s="3" t="s">
        <v>32</v>
      </c>
      <c r="C17" s="54"/>
      <c r="D17" s="67">
        <v>4201000231</v>
      </c>
      <c r="E17" s="67" t="s">
        <v>113</v>
      </c>
      <c r="F17" s="68" t="s">
        <v>131</v>
      </c>
      <c r="G17" s="67" t="s">
        <v>116</v>
      </c>
      <c r="H17" s="10" t="s">
        <v>36</v>
      </c>
      <c r="I17" s="10">
        <v>1</v>
      </c>
      <c r="J17" s="10">
        <v>28</v>
      </c>
      <c r="K17" s="34"/>
      <c r="L17" s="34"/>
      <c r="M17" s="10">
        <f t="shared" ref="M17" si="5">J17*I17</f>
        <v>28</v>
      </c>
      <c r="N17" s="11"/>
      <c r="O17" s="11"/>
      <c r="P17" s="7">
        <v>45723</v>
      </c>
      <c r="Q17" s="7">
        <v>45724</v>
      </c>
      <c r="R17" s="2" t="s">
        <v>37</v>
      </c>
      <c r="S17" s="66"/>
      <c r="T17" s="29"/>
      <c r="U17" s="2"/>
      <c r="V17" s="47" t="s">
        <v>38</v>
      </c>
      <c r="W17" s="2"/>
    </row>
    <row r="18" spans="1:23" s="31" customFormat="1" ht="28.5" customHeight="1" x14ac:dyDescent="0.2">
      <c r="A18" s="2">
        <v>13</v>
      </c>
      <c r="B18" s="3" t="s">
        <v>32</v>
      </c>
      <c r="C18" s="54"/>
      <c r="D18" s="22">
        <v>4202000026</v>
      </c>
      <c r="E18" s="17" t="s">
        <v>80</v>
      </c>
      <c r="F18" s="17" t="s">
        <v>79</v>
      </c>
      <c r="G18" s="17" t="s">
        <v>77</v>
      </c>
      <c r="H18" s="2" t="s">
        <v>36</v>
      </c>
      <c r="I18" s="2">
        <v>2</v>
      </c>
      <c r="J18" s="2">
        <v>28</v>
      </c>
      <c r="K18" s="29"/>
      <c r="L18" s="29"/>
      <c r="M18" s="2">
        <f t="shared" si="0"/>
        <v>56</v>
      </c>
      <c r="N18" s="6"/>
      <c r="O18" s="6"/>
      <c r="P18" s="7">
        <v>45723</v>
      </c>
      <c r="Q18" s="7">
        <v>45724</v>
      </c>
      <c r="R18" s="2" t="s">
        <v>37</v>
      </c>
      <c r="S18" s="32"/>
      <c r="T18" s="29"/>
      <c r="U18" s="2"/>
      <c r="V18" s="47" t="s">
        <v>38</v>
      </c>
      <c r="W18" s="2"/>
    </row>
    <row r="19" spans="1:23" s="31" customFormat="1" ht="28.5" customHeight="1" x14ac:dyDescent="0.2">
      <c r="A19" s="2">
        <v>14</v>
      </c>
      <c r="B19" s="3" t="s">
        <v>32</v>
      </c>
      <c r="C19" s="54"/>
      <c r="D19" s="21">
        <v>4202000023</v>
      </c>
      <c r="E19" s="21" t="s">
        <v>78</v>
      </c>
      <c r="F19" s="12" t="s">
        <v>81</v>
      </c>
      <c r="G19" s="21" t="s">
        <v>77</v>
      </c>
      <c r="H19" s="12" t="s">
        <v>36</v>
      </c>
      <c r="I19" s="10">
        <v>1</v>
      </c>
      <c r="J19" s="10">
        <v>28</v>
      </c>
      <c r="K19" s="34"/>
      <c r="L19" s="34"/>
      <c r="M19" s="10">
        <f>J19*I19</f>
        <v>28</v>
      </c>
      <c r="N19" s="11"/>
      <c r="O19" s="11"/>
      <c r="P19" s="7">
        <v>45723</v>
      </c>
      <c r="Q19" s="7">
        <v>45724</v>
      </c>
      <c r="R19" s="2" t="s">
        <v>37</v>
      </c>
      <c r="S19" s="32" t="s">
        <v>65</v>
      </c>
      <c r="T19" s="29"/>
      <c r="U19" s="2"/>
      <c r="V19" s="47" t="s">
        <v>38</v>
      </c>
      <c r="W19" s="2"/>
    </row>
    <row r="20" spans="1:23" s="31" customFormat="1" ht="28.5" customHeight="1" x14ac:dyDescent="0.2">
      <c r="A20" s="2">
        <v>15</v>
      </c>
      <c r="B20" s="3" t="s">
        <v>32</v>
      </c>
      <c r="C20" s="54"/>
      <c r="D20" s="21">
        <v>4201000061</v>
      </c>
      <c r="E20" s="26" t="s">
        <v>82</v>
      </c>
      <c r="F20" s="26" t="s">
        <v>118</v>
      </c>
      <c r="G20" s="12" t="s">
        <v>76</v>
      </c>
      <c r="H20" s="10" t="s">
        <v>36</v>
      </c>
      <c r="I20" s="10">
        <v>1</v>
      </c>
      <c r="J20" s="10">
        <v>28</v>
      </c>
      <c r="K20" s="34"/>
      <c r="L20" s="34"/>
      <c r="M20" s="10">
        <f t="shared" ref="M20:M22" si="6">J20*I20</f>
        <v>28</v>
      </c>
      <c r="N20" s="11"/>
      <c r="O20" s="11"/>
      <c r="P20" s="7">
        <v>45723</v>
      </c>
      <c r="Q20" s="7">
        <v>45724</v>
      </c>
      <c r="R20" s="2" t="s">
        <v>37</v>
      </c>
      <c r="S20" s="32"/>
      <c r="T20" s="29"/>
      <c r="U20" s="2"/>
      <c r="V20" s="47" t="s">
        <v>38</v>
      </c>
      <c r="W20" s="2"/>
    </row>
    <row r="21" spans="1:23" s="31" customFormat="1" ht="28.5" customHeight="1" x14ac:dyDescent="0.2">
      <c r="A21" s="2">
        <v>16</v>
      </c>
      <c r="B21" s="3" t="s">
        <v>32</v>
      </c>
      <c r="C21" s="54"/>
      <c r="D21" s="21">
        <v>4202000024</v>
      </c>
      <c r="E21" s="26" t="s">
        <v>40</v>
      </c>
      <c r="F21" s="26" t="s">
        <v>119</v>
      </c>
      <c r="G21" s="12" t="s">
        <v>76</v>
      </c>
      <c r="H21" s="10" t="s">
        <v>36</v>
      </c>
      <c r="I21" s="10">
        <v>1</v>
      </c>
      <c r="J21" s="10">
        <v>28</v>
      </c>
      <c r="K21" s="34"/>
      <c r="L21" s="34"/>
      <c r="M21" s="10">
        <f t="shared" si="6"/>
        <v>28</v>
      </c>
      <c r="N21" s="11"/>
      <c r="O21" s="11"/>
      <c r="P21" s="7">
        <v>45723</v>
      </c>
      <c r="Q21" s="7">
        <v>45724</v>
      </c>
      <c r="R21" s="2" t="s">
        <v>37</v>
      </c>
      <c r="S21" s="32" t="s">
        <v>65</v>
      </c>
      <c r="T21" s="29"/>
      <c r="U21" s="2"/>
      <c r="V21" s="47" t="s">
        <v>38</v>
      </c>
      <c r="W21" s="2"/>
    </row>
    <row r="22" spans="1:23" s="31" customFormat="1" ht="28.5" customHeight="1" x14ac:dyDescent="0.2">
      <c r="A22" s="2">
        <v>17</v>
      </c>
      <c r="B22" s="3" t="s">
        <v>32</v>
      </c>
      <c r="C22" s="54"/>
      <c r="D22" s="22">
        <v>4202000027</v>
      </c>
      <c r="E22" s="27" t="s">
        <v>84</v>
      </c>
      <c r="F22" s="27" t="s">
        <v>83</v>
      </c>
      <c r="G22" s="17" t="s">
        <v>76</v>
      </c>
      <c r="H22" s="2" t="s">
        <v>36</v>
      </c>
      <c r="I22" s="2">
        <v>2</v>
      </c>
      <c r="J22" s="2">
        <v>28</v>
      </c>
      <c r="K22" s="29"/>
      <c r="L22" s="29"/>
      <c r="M22" s="2">
        <f t="shared" si="6"/>
        <v>56</v>
      </c>
      <c r="N22" s="6"/>
      <c r="O22" s="6"/>
      <c r="P22" s="7">
        <v>45723</v>
      </c>
      <c r="Q22" s="7">
        <v>45724</v>
      </c>
      <c r="R22" s="2" t="s">
        <v>37</v>
      </c>
      <c r="S22" s="32"/>
      <c r="T22" s="29"/>
      <c r="U22" s="2"/>
      <c r="V22" s="47" t="s">
        <v>38</v>
      </c>
      <c r="W22" s="2"/>
    </row>
    <row r="23" spans="1:23" s="31" customFormat="1" ht="28.5" customHeight="1" x14ac:dyDescent="0.2">
      <c r="A23" s="2">
        <v>18</v>
      </c>
      <c r="B23" s="3" t="s">
        <v>32</v>
      </c>
      <c r="C23" s="56" t="s">
        <v>85</v>
      </c>
      <c r="D23" s="22">
        <v>3001000130</v>
      </c>
      <c r="E23" s="17" t="s">
        <v>86</v>
      </c>
      <c r="F23" s="17" t="s">
        <v>88</v>
      </c>
      <c r="G23" s="17" t="s">
        <v>41</v>
      </c>
      <c r="H23" s="2" t="s">
        <v>36</v>
      </c>
      <c r="I23" s="2">
        <v>3</v>
      </c>
      <c r="J23" s="2">
        <v>28</v>
      </c>
      <c r="K23" s="29"/>
      <c r="L23" s="29"/>
      <c r="M23" s="2">
        <f t="shared" ref="M23:M29" si="7">J23*I23</f>
        <v>84</v>
      </c>
      <c r="N23" s="6"/>
      <c r="O23" s="6"/>
      <c r="P23" s="7">
        <v>45723</v>
      </c>
      <c r="Q23" s="7">
        <v>45724</v>
      </c>
      <c r="R23" s="2" t="s">
        <v>37</v>
      </c>
      <c r="S23" s="32"/>
      <c r="T23" s="29"/>
      <c r="U23" s="2"/>
      <c r="V23" s="47" t="s">
        <v>38</v>
      </c>
      <c r="W23" s="2"/>
    </row>
    <row r="24" spans="1:23" s="31" customFormat="1" ht="28.5" customHeight="1" x14ac:dyDescent="0.2">
      <c r="A24" s="2">
        <v>19</v>
      </c>
      <c r="B24" s="3" t="s">
        <v>32</v>
      </c>
      <c r="C24" s="56"/>
      <c r="D24" s="22">
        <v>4202000099</v>
      </c>
      <c r="E24" s="17" t="s">
        <v>87</v>
      </c>
      <c r="F24" s="17" t="s">
        <v>105</v>
      </c>
      <c r="G24" s="17" t="s">
        <v>41</v>
      </c>
      <c r="H24" s="2" t="s">
        <v>36</v>
      </c>
      <c r="I24" s="2">
        <v>3</v>
      </c>
      <c r="J24" s="2">
        <v>28</v>
      </c>
      <c r="K24" s="29"/>
      <c r="L24" s="29"/>
      <c r="M24" s="2">
        <f t="shared" si="7"/>
        <v>84</v>
      </c>
      <c r="N24" s="6"/>
      <c r="O24" s="6"/>
      <c r="P24" s="7">
        <v>45723</v>
      </c>
      <c r="Q24" s="7">
        <v>45724</v>
      </c>
      <c r="R24" s="2" t="s">
        <v>37</v>
      </c>
      <c r="S24" s="32"/>
      <c r="T24" s="29"/>
      <c r="U24" s="2"/>
      <c r="V24" s="47" t="s">
        <v>38</v>
      </c>
      <c r="W24" s="2"/>
    </row>
    <row r="25" spans="1:23" s="31" customFormat="1" ht="28.5" customHeight="1" x14ac:dyDescent="0.2">
      <c r="A25" s="2">
        <v>20</v>
      </c>
      <c r="B25" s="3" t="s">
        <v>32</v>
      </c>
      <c r="C25" s="56"/>
      <c r="D25" s="21">
        <v>4000000040</v>
      </c>
      <c r="E25" s="12" t="s">
        <v>90</v>
      </c>
      <c r="F25" s="12" t="s">
        <v>91</v>
      </c>
      <c r="G25" s="12" t="s">
        <v>89</v>
      </c>
      <c r="H25" s="13" t="s">
        <v>36</v>
      </c>
      <c r="I25" s="13">
        <v>3</v>
      </c>
      <c r="J25" s="10">
        <v>28</v>
      </c>
      <c r="K25" s="34"/>
      <c r="L25" s="34"/>
      <c r="M25" s="10">
        <f t="shared" si="7"/>
        <v>84</v>
      </c>
      <c r="N25" s="11"/>
      <c r="O25" s="11"/>
      <c r="P25" s="7">
        <v>45723</v>
      </c>
      <c r="Q25" s="7">
        <v>45724</v>
      </c>
      <c r="R25" s="2" t="s">
        <v>37</v>
      </c>
      <c r="S25" s="32"/>
      <c r="T25" s="29"/>
      <c r="U25" s="2"/>
      <c r="V25" s="47" t="s">
        <v>38</v>
      </c>
      <c r="W25" s="2"/>
    </row>
    <row r="26" spans="1:23" s="31" customFormat="1" ht="28.5" customHeight="1" x14ac:dyDescent="0.2">
      <c r="A26" s="2">
        <v>21</v>
      </c>
      <c r="B26" s="3" t="s">
        <v>32</v>
      </c>
      <c r="C26" s="56"/>
      <c r="D26" s="21">
        <v>4100000165</v>
      </c>
      <c r="E26" s="12" t="s">
        <v>64</v>
      </c>
      <c r="F26" s="12" t="s">
        <v>122</v>
      </c>
      <c r="G26" s="12" t="s">
        <v>89</v>
      </c>
      <c r="H26" s="13" t="s">
        <v>36</v>
      </c>
      <c r="I26" s="13">
        <v>2</v>
      </c>
      <c r="J26" s="10">
        <v>28</v>
      </c>
      <c r="K26" s="34"/>
      <c r="L26" s="34"/>
      <c r="M26" s="10">
        <f t="shared" si="7"/>
        <v>56</v>
      </c>
      <c r="N26" s="11"/>
      <c r="O26" s="11"/>
      <c r="P26" s="7">
        <v>45723</v>
      </c>
      <c r="Q26" s="7">
        <v>45724</v>
      </c>
      <c r="R26" s="2" t="s">
        <v>37</v>
      </c>
      <c r="S26" s="32" t="s">
        <v>121</v>
      </c>
      <c r="T26" s="29"/>
      <c r="U26" s="2"/>
      <c r="V26" s="47" t="s">
        <v>38</v>
      </c>
      <c r="W26" s="2"/>
    </row>
    <row r="27" spans="1:23" s="31" customFormat="1" ht="28.5" customHeight="1" x14ac:dyDescent="0.2">
      <c r="A27" s="2"/>
      <c r="B27" s="3"/>
      <c r="C27" s="56"/>
      <c r="D27" s="21">
        <v>4100000146</v>
      </c>
      <c r="E27" s="12" t="s">
        <v>64</v>
      </c>
      <c r="F27" s="12" t="s">
        <v>92</v>
      </c>
      <c r="G27" s="12" t="s">
        <v>89</v>
      </c>
      <c r="H27" s="13" t="s">
        <v>36</v>
      </c>
      <c r="I27" s="13">
        <v>1</v>
      </c>
      <c r="J27" s="10">
        <v>28</v>
      </c>
      <c r="K27" s="34"/>
      <c r="L27" s="34"/>
      <c r="M27" s="10">
        <f t="shared" ref="M27" si="8">J27*I27</f>
        <v>28</v>
      </c>
      <c r="N27" s="11"/>
      <c r="O27" s="11"/>
      <c r="P27" s="7">
        <v>45723</v>
      </c>
      <c r="Q27" s="7">
        <v>45724</v>
      </c>
      <c r="R27" s="2" t="s">
        <v>37</v>
      </c>
      <c r="S27" s="32" t="s">
        <v>121</v>
      </c>
      <c r="T27" s="29"/>
      <c r="U27" s="2"/>
      <c r="V27" s="47" t="s">
        <v>38</v>
      </c>
      <c r="W27" s="2"/>
    </row>
    <row r="28" spans="1:23" s="31" customFormat="1" ht="28.5" customHeight="1" x14ac:dyDescent="0.2">
      <c r="A28" s="2">
        <v>22</v>
      </c>
      <c r="B28" s="3" t="s">
        <v>32</v>
      </c>
      <c r="C28" s="56"/>
      <c r="D28" s="12">
        <v>4201000062</v>
      </c>
      <c r="E28" s="12" t="s">
        <v>93</v>
      </c>
      <c r="F28" s="12" t="s">
        <v>96</v>
      </c>
      <c r="G28" s="13" t="s">
        <v>76</v>
      </c>
      <c r="H28" s="13" t="s">
        <v>36</v>
      </c>
      <c r="I28" s="13">
        <v>1</v>
      </c>
      <c r="J28" s="10">
        <v>28</v>
      </c>
      <c r="K28" s="34"/>
      <c r="L28" s="34"/>
      <c r="M28" s="10">
        <f t="shared" si="7"/>
        <v>28</v>
      </c>
      <c r="N28" s="11"/>
      <c r="O28" s="11"/>
      <c r="P28" s="7">
        <v>45723</v>
      </c>
      <c r="Q28" s="7">
        <v>45724</v>
      </c>
      <c r="R28" s="2" t="s">
        <v>37</v>
      </c>
      <c r="S28" s="32"/>
      <c r="T28" s="29"/>
      <c r="U28" s="2"/>
      <c r="V28" s="47" t="s">
        <v>38</v>
      </c>
      <c r="W28" s="2"/>
    </row>
    <row r="29" spans="1:23" s="31" customFormat="1" ht="28.5" customHeight="1" x14ac:dyDescent="0.2">
      <c r="A29" s="2">
        <v>23</v>
      </c>
      <c r="B29" s="3" t="s">
        <v>32</v>
      </c>
      <c r="C29" s="56"/>
      <c r="D29" s="12">
        <v>4201000057</v>
      </c>
      <c r="E29" s="12" t="s">
        <v>94</v>
      </c>
      <c r="F29" s="12" t="s">
        <v>95</v>
      </c>
      <c r="G29" s="13" t="s">
        <v>76</v>
      </c>
      <c r="H29" s="13" t="s">
        <v>36</v>
      </c>
      <c r="I29" s="10">
        <v>1</v>
      </c>
      <c r="J29" s="10">
        <v>28</v>
      </c>
      <c r="K29" s="34"/>
      <c r="L29" s="34"/>
      <c r="M29" s="10">
        <f t="shared" si="7"/>
        <v>28</v>
      </c>
      <c r="N29" s="11"/>
      <c r="O29" s="11"/>
      <c r="P29" s="7">
        <v>45723</v>
      </c>
      <c r="Q29" s="7">
        <v>45724</v>
      </c>
      <c r="R29" s="2" t="s">
        <v>37</v>
      </c>
      <c r="S29" s="32"/>
      <c r="T29" s="29"/>
      <c r="U29" s="2"/>
      <c r="V29" s="47" t="s">
        <v>38</v>
      </c>
      <c r="W29" s="2"/>
    </row>
    <row r="30" spans="1:23" s="31" customFormat="1" ht="28.5" customHeight="1" x14ac:dyDescent="0.2">
      <c r="A30" s="2"/>
      <c r="B30" s="3"/>
      <c r="C30" s="56"/>
      <c r="D30" s="17">
        <v>4202000022</v>
      </c>
      <c r="E30" s="17" t="s">
        <v>98</v>
      </c>
      <c r="F30" s="17" t="s">
        <v>97</v>
      </c>
      <c r="G30" s="4" t="s">
        <v>76</v>
      </c>
      <c r="H30" s="4" t="s">
        <v>36</v>
      </c>
      <c r="I30" s="2">
        <v>2</v>
      </c>
      <c r="J30" s="2">
        <v>28</v>
      </c>
      <c r="K30" s="29"/>
      <c r="L30" s="29"/>
      <c r="M30" s="2">
        <f t="shared" ref="M30:M31" si="9">J30*I30</f>
        <v>56</v>
      </c>
      <c r="N30" s="6"/>
      <c r="O30" s="6"/>
      <c r="P30" s="7">
        <v>45723</v>
      </c>
      <c r="Q30" s="7">
        <v>45724</v>
      </c>
      <c r="R30" s="2" t="s">
        <v>37</v>
      </c>
      <c r="S30" s="32"/>
      <c r="T30" s="29"/>
      <c r="U30" s="2"/>
      <c r="V30" s="47" t="s">
        <v>38</v>
      </c>
      <c r="W30" s="2"/>
    </row>
    <row r="31" spans="1:23" s="31" customFormat="1" ht="28.5" customHeight="1" x14ac:dyDescent="0.2">
      <c r="A31" s="2"/>
      <c r="B31" s="3"/>
      <c r="C31" s="56"/>
      <c r="D31" s="12">
        <v>4202000025</v>
      </c>
      <c r="E31" s="12" t="s">
        <v>40</v>
      </c>
      <c r="F31" s="12" t="s">
        <v>99</v>
      </c>
      <c r="G31" s="13" t="s">
        <v>76</v>
      </c>
      <c r="H31" s="13" t="s">
        <v>36</v>
      </c>
      <c r="I31" s="10">
        <v>1</v>
      </c>
      <c r="J31" s="10">
        <v>28</v>
      </c>
      <c r="K31" s="34"/>
      <c r="L31" s="34"/>
      <c r="M31" s="10">
        <f t="shared" si="9"/>
        <v>28</v>
      </c>
      <c r="N31" s="11"/>
      <c r="O31" s="11"/>
      <c r="P31" s="7">
        <v>45723</v>
      </c>
      <c r="Q31" s="7">
        <v>45724</v>
      </c>
      <c r="R31" s="2" t="s">
        <v>37</v>
      </c>
      <c r="S31" s="32" t="s">
        <v>65</v>
      </c>
      <c r="T31" s="29"/>
      <c r="U31" s="2"/>
      <c r="V31" s="47" t="s">
        <v>38</v>
      </c>
      <c r="W31" s="2"/>
    </row>
    <row r="32" spans="1:23" ht="28.5" customHeight="1" x14ac:dyDescent="0.2">
      <c r="A32" s="2">
        <v>25</v>
      </c>
      <c r="B32" s="3" t="s">
        <v>32</v>
      </c>
      <c r="C32" s="53" t="s">
        <v>42</v>
      </c>
      <c r="D32" s="21">
        <v>2004020004</v>
      </c>
      <c r="E32" s="12" t="s">
        <v>100</v>
      </c>
      <c r="F32" s="12" t="s">
        <v>101</v>
      </c>
      <c r="G32" s="12" t="s">
        <v>43</v>
      </c>
      <c r="H32" s="10" t="s">
        <v>36</v>
      </c>
      <c r="I32" s="10">
        <v>1</v>
      </c>
      <c r="J32" s="10">
        <v>28</v>
      </c>
      <c r="K32" s="34"/>
      <c r="L32" s="34"/>
      <c r="M32" s="10">
        <f t="shared" si="0"/>
        <v>28</v>
      </c>
      <c r="N32" s="11"/>
      <c r="O32" s="11"/>
      <c r="P32" s="7">
        <v>45723</v>
      </c>
      <c r="Q32" s="7">
        <v>45724</v>
      </c>
      <c r="R32" s="2" t="s">
        <v>37</v>
      </c>
      <c r="S32" s="32" t="s">
        <v>65</v>
      </c>
      <c r="T32" s="29"/>
      <c r="U32" s="2"/>
      <c r="V32" s="47" t="s">
        <v>38</v>
      </c>
      <c r="W32" s="2"/>
    </row>
    <row r="33" spans="1:23" ht="28.5" customHeight="1" x14ac:dyDescent="0.2">
      <c r="A33" s="2">
        <v>26</v>
      </c>
      <c r="B33" s="3" t="s">
        <v>32</v>
      </c>
      <c r="C33" s="54"/>
      <c r="D33" s="17">
        <v>2004020007</v>
      </c>
      <c r="E33" s="17" t="s">
        <v>44</v>
      </c>
      <c r="F33" s="17" t="s">
        <v>45</v>
      </c>
      <c r="G33" s="4" t="s">
        <v>46</v>
      </c>
      <c r="H33" s="5" t="s">
        <v>36</v>
      </c>
      <c r="I33" s="8">
        <v>1</v>
      </c>
      <c r="J33" s="2">
        <v>28</v>
      </c>
      <c r="K33" s="29"/>
      <c r="L33" s="29"/>
      <c r="M33" s="2">
        <f t="shared" si="0"/>
        <v>28</v>
      </c>
      <c r="N33" s="6"/>
      <c r="O33" s="6"/>
      <c r="P33" s="7">
        <v>45723</v>
      </c>
      <c r="Q33" s="7">
        <v>45724</v>
      </c>
      <c r="R33" s="2" t="s">
        <v>37</v>
      </c>
      <c r="S33" s="32"/>
      <c r="T33" s="29"/>
      <c r="U33" s="2"/>
      <c r="V33" s="47" t="s">
        <v>38</v>
      </c>
      <c r="W33" s="2"/>
    </row>
    <row r="34" spans="1:23" ht="28.5" customHeight="1" x14ac:dyDescent="0.2">
      <c r="A34" s="2">
        <v>27</v>
      </c>
      <c r="B34" s="3" t="s">
        <v>32</v>
      </c>
      <c r="C34" s="54"/>
      <c r="D34" s="17">
        <v>3001000043</v>
      </c>
      <c r="E34" s="17" t="s">
        <v>47</v>
      </c>
      <c r="F34" s="17" t="s">
        <v>104</v>
      </c>
      <c r="G34" s="17" t="s">
        <v>48</v>
      </c>
      <c r="H34" s="4" t="s">
        <v>36</v>
      </c>
      <c r="I34" s="8">
        <v>1</v>
      </c>
      <c r="J34" s="2">
        <v>28</v>
      </c>
      <c r="K34" s="29"/>
      <c r="L34" s="29"/>
      <c r="M34" s="2">
        <f t="shared" si="0"/>
        <v>28</v>
      </c>
      <c r="N34" s="6"/>
      <c r="O34" s="6"/>
      <c r="P34" s="7">
        <v>45723</v>
      </c>
      <c r="Q34" s="7">
        <v>45724</v>
      </c>
      <c r="R34" s="2" t="s">
        <v>37</v>
      </c>
      <c r="S34" s="32"/>
      <c r="T34" s="29"/>
      <c r="U34" s="2"/>
      <c r="V34" s="47" t="s">
        <v>38</v>
      </c>
      <c r="W34" s="2"/>
    </row>
    <row r="35" spans="1:23" ht="28.5" customHeight="1" x14ac:dyDescent="0.2">
      <c r="A35" s="2">
        <v>28</v>
      </c>
      <c r="B35" s="3" t="s">
        <v>32</v>
      </c>
      <c r="C35" s="54"/>
      <c r="D35" s="17">
        <v>3001000042</v>
      </c>
      <c r="E35" s="17" t="s">
        <v>49</v>
      </c>
      <c r="F35" s="17" t="s">
        <v>59</v>
      </c>
      <c r="G35" s="17" t="s">
        <v>48</v>
      </c>
      <c r="H35" s="4" t="s">
        <v>36</v>
      </c>
      <c r="I35" s="8">
        <v>2</v>
      </c>
      <c r="J35" s="2">
        <v>28</v>
      </c>
      <c r="K35" s="29"/>
      <c r="L35" s="29"/>
      <c r="M35" s="2">
        <f t="shared" si="0"/>
        <v>56</v>
      </c>
      <c r="N35" s="6"/>
      <c r="O35" s="6"/>
      <c r="P35" s="7">
        <v>45723</v>
      </c>
      <c r="Q35" s="7">
        <v>45724</v>
      </c>
      <c r="R35" s="2" t="s">
        <v>37</v>
      </c>
      <c r="S35" s="32"/>
      <c r="T35" s="29"/>
      <c r="U35" s="2"/>
      <c r="V35" s="47" t="s">
        <v>38</v>
      </c>
      <c r="W35" s="2"/>
    </row>
    <row r="36" spans="1:23" ht="28.5" customHeight="1" x14ac:dyDescent="0.2">
      <c r="A36" s="2">
        <v>29</v>
      </c>
      <c r="B36" s="3" t="s">
        <v>32</v>
      </c>
      <c r="C36" s="54"/>
      <c r="D36" s="23">
        <v>2004030001</v>
      </c>
      <c r="E36" s="23" t="s">
        <v>61</v>
      </c>
      <c r="F36" s="23" t="s">
        <v>62</v>
      </c>
      <c r="G36" s="23" t="s">
        <v>50</v>
      </c>
      <c r="H36" s="13" t="s">
        <v>36</v>
      </c>
      <c r="I36" s="14">
        <v>1</v>
      </c>
      <c r="J36" s="10">
        <v>28</v>
      </c>
      <c r="K36" s="34"/>
      <c r="L36" s="34"/>
      <c r="M36" s="10">
        <f t="shared" si="0"/>
        <v>28</v>
      </c>
      <c r="N36" s="11"/>
      <c r="O36" s="11"/>
      <c r="P36" s="7">
        <v>45723</v>
      </c>
      <c r="Q36" s="7">
        <v>45724</v>
      </c>
      <c r="R36" s="2" t="s">
        <v>37</v>
      </c>
      <c r="S36" s="32" t="s">
        <v>126</v>
      </c>
      <c r="T36" s="29"/>
      <c r="U36" s="2"/>
      <c r="V36" s="47" t="s">
        <v>38</v>
      </c>
      <c r="W36" s="2"/>
    </row>
    <row r="37" spans="1:23" ht="78" customHeight="1" x14ac:dyDescent="0.2">
      <c r="A37" s="2">
        <v>30</v>
      </c>
      <c r="B37" s="3" t="s">
        <v>32</v>
      </c>
      <c r="C37" s="54"/>
      <c r="D37" s="24">
        <v>4300000133</v>
      </c>
      <c r="E37" s="12" t="s">
        <v>51</v>
      </c>
      <c r="F37" s="12" t="s">
        <v>120</v>
      </c>
      <c r="G37" s="12" t="s">
        <v>103</v>
      </c>
      <c r="H37" s="13" t="s">
        <v>36</v>
      </c>
      <c r="I37" s="14">
        <v>1</v>
      </c>
      <c r="J37" s="10">
        <v>28</v>
      </c>
      <c r="K37" s="34"/>
      <c r="L37" s="34"/>
      <c r="M37" s="10">
        <f t="shared" si="0"/>
        <v>28</v>
      </c>
      <c r="N37" s="11"/>
      <c r="O37" s="11"/>
      <c r="P37" s="7">
        <v>45723</v>
      </c>
      <c r="Q37" s="7">
        <v>45724</v>
      </c>
      <c r="R37" s="2" t="s">
        <v>37</v>
      </c>
      <c r="S37" s="32" t="s">
        <v>127</v>
      </c>
      <c r="T37" s="29"/>
      <c r="U37" s="2"/>
      <c r="V37" s="47" t="s">
        <v>38</v>
      </c>
      <c r="W37" s="2"/>
    </row>
    <row r="38" spans="1:23" ht="28.5" customHeight="1" x14ac:dyDescent="0.2">
      <c r="A38" s="2">
        <v>32</v>
      </c>
      <c r="B38" s="3" t="s">
        <v>32</v>
      </c>
      <c r="C38" s="54"/>
      <c r="D38" s="18">
        <v>4400000003</v>
      </c>
      <c r="E38" s="25" t="s">
        <v>39</v>
      </c>
      <c r="F38" s="17" t="s">
        <v>102</v>
      </c>
      <c r="G38" s="17" t="s">
        <v>35</v>
      </c>
      <c r="H38" s="2" t="s">
        <v>36</v>
      </c>
      <c r="I38" s="2">
        <v>2</v>
      </c>
      <c r="J38" s="2">
        <v>28</v>
      </c>
      <c r="K38" s="29"/>
      <c r="L38" s="29"/>
      <c r="M38" s="2">
        <f t="shared" si="0"/>
        <v>56</v>
      </c>
      <c r="N38" s="6"/>
      <c r="O38" s="6"/>
      <c r="P38" s="7">
        <v>45723</v>
      </c>
      <c r="Q38" s="7">
        <v>45724</v>
      </c>
      <c r="R38" s="2" t="s">
        <v>37</v>
      </c>
      <c r="S38" s="32"/>
      <c r="T38" s="29"/>
      <c r="U38" s="2"/>
      <c r="V38" s="47" t="s">
        <v>38</v>
      </c>
      <c r="W38" s="2"/>
    </row>
    <row r="39" spans="1:23" ht="28.5" customHeight="1" x14ac:dyDescent="0.2">
      <c r="A39" s="2">
        <v>34</v>
      </c>
      <c r="B39" s="3" t="s">
        <v>32</v>
      </c>
      <c r="C39" s="54"/>
      <c r="D39" s="22">
        <v>2502000009</v>
      </c>
      <c r="E39" s="25" t="s">
        <v>52</v>
      </c>
      <c r="F39" s="17" t="s">
        <v>53</v>
      </c>
      <c r="G39" s="17" t="s">
        <v>54</v>
      </c>
      <c r="H39" s="2" t="s">
        <v>36</v>
      </c>
      <c r="I39" s="2">
        <v>1</v>
      </c>
      <c r="J39" s="2">
        <v>28</v>
      </c>
      <c r="K39" s="29"/>
      <c r="L39" s="29"/>
      <c r="M39" s="2">
        <f t="shared" si="0"/>
        <v>28</v>
      </c>
      <c r="N39" s="6"/>
      <c r="O39" s="6"/>
      <c r="P39" s="7">
        <v>45723</v>
      </c>
      <c r="Q39" s="7">
        <v>45724</v>
      </c>
      <c r="R39" s="2" t="s">
        <v>37</v>
      </c>
      <c r="S39" s="32"/>
      <c r="T39" s="29"/>
      <c r="U39" s="2"/>
      <c r="V39" s="47" t="s">
        <v>38</v>
      </c>
      <c r="W39" s="2"/>
    </row>
    <row r="40" spans="1:23" ht="28.5" customHeight="1" x14ac:dyDescent="0.2">
      <c r="A40" s="2">
        <v>35</v>
      </c>
      <c r="B40" s="3" t="s">
        <v>32</v>
      </c>
      <c r="C40" s="54"/>
      <c r="D40" s="48">
        <v>2502000010</v>
      </c>
      <c r="E40" s="13" t="s">
        <v>55</v>
      </c>
      <c r="F40" s="49" t="s">
        <v>63</v>
      </c>
      <c r="G40" s="49" t="s">
        <v>54</v>
      </c>
      <c r="H40" s="13" t="s">
        <v>36</v>
      </c>
      <c r="I40" s="13">
        <v>1</v>
      </c>
      <c r="J40" s="10">
        <v>28</v>
      </c>
      <c r="K40" s="50"/>
      <c r="L40" s="50"/>
      <c r="M40" s="13">
        <f t="shared" si="0"/>
        <v>28</v>
      </c>
      <c r="N40" s="51"/>
      <c r="O40" s="51"/>
      <c r="P40" s="52">
        <v>45723</v>
      </c>
      <c r="Q40" s="7">
        <v>45724</v>
      </c>
      <c r="R40" s="2" t="s">
        <v>37</v>
      </c>
      <c r="S40" s="35" t="s">
        <v>128</v>
      </c>
      <c r="T40" s="29"/>
      <c r="U40" s="2"/>
      <c r="V40" s="47" t="s">
        <v>38</v>
      </c>
      <c r="W40" s="2"/>
    </row>
    <row r="41" spans="1:23" ht="28.5" customHeight="1" x14ac:dyDescent="0.2">
      <c r="A41" s="2">
        <v>36</v>
      </c>
      <c r="B41" s="3" t="s">
        <v>32</v>
      </c>
      <c r="C41" s="55"/>
      <c r="D41" s="22">
        <v>2402000007</v>
      </c>
      <c r="E41" s="25" t="s">
        <v>56</v>
      </c>
      <c r="F41" s="17" t="s">
        <v>58</v>
      </c>
      <c r="G41" s="17" t="s">
        <v>57</v>
      </c>
      <c r="H41" s="2" t="s">
        <v>36</v>
      </c>
      <c r="I41" s="2">
        <v>1</v>
      </c>
      <c r="J41" s="2">
        <v>28</v>
      </c>
      <c r="K41" s="29"/>
      <c r="L41" s="29"/>
      <c r="M41" s="2">
        <f t="shared" si="0"/>
        <v>28</v>
      </c>
      <c r="N41" s="6"/>
      <c r="O41" s="6"/>
      <c r="P41" s="7">
        <v>45723</v>
      </c>
      <c r="Q41" s="7">
        <v>45724</v>
      </c>
      <c r="R41" s="2" t="s">
        <v>37</v>
      </c>
      <c r="S41" s="30"/>
      <c r="T41" s="29"/>
      <c r="U41" s="2"/>
      <c r="V41" s="47" t="s">
        <v>38</v>
      </c>
      <c r="W41" s="2"/>
    </row>
    <row r="42" spans="1:23" ht="14.25" x14ac:dyDescent="0.2">
      <c r="N42" s="28"/>
      <c r="O42" s="28"/>
      <c r="P42" s="28"/>
      <c r="Q42" s="28"/>
      <c r="U42" s="39"/>
    </row>
    <row r="43" spans="1:23" x14ac:dyDescent="0.2">
      <c r="N43" s="28"/>
      <c r="O43" s="28"/>
      <c r="P43" s="28"/>
      <c r="Q43" s="28"/>
    </row>
    <row r="44" spans="1:23" x14ac:dyDescent="0.2">
      <c r="N44" s="28"/>
      <c r="O44" s="28"/>
      <c r="P44" s="28"/>
      <c r="Q44" s="28"/>
    </row>
    <row r="45" spans="1:23" x14ac:dyDescent="0.2">
      <c r="N45" s="28"/>
      <c r="O45" s="28"/>
      <c r="P45" s="28"/>
      <c r="Q45" s="28"/>
    </row>
    <row r="46" spans="1:23" x14ac:dyDescent="0.2">
      <c r="N46" s="28"/>
      <c r="O46" s="28"/>
      <c r="P46" s="28"/>
      <c r="Q46" s="28"/>
    </row>
    <row r="47" spans="1:23" x14ac:dyDescent="0.2">
      <c r="N47" s="28"/>
      <c r="O47" s="28"/>
      <c r="P47" s="28"/>
      <c r="Q47" s="28"/>
    </row>
    <row r="48" spans="1:23" x14ac:dyDescent="0.2">
      <c r="N48" s="28"/>
      <c r="O48" s="28"/>
      <c r="P48" s="28"/>
      <c r="Q48" s="28"/>
    </row>
    <row r="49" spans="14:17" x14ac:dyDescent="0.2">
      <c r="N49" s="28"/>
      <c r="O49" s="28"/>
      <c r="P49" s="28"/>
      <c r="Q49" s="28"/>
    </row>
    <row r="50" spans="14:17" x14ac:dyDescent="0.2">
      <c r="N50" s="28"/>
      <c r="O50" s="28"/>
      <c r="P50" s="28"/>
      <c r="Q50" s="28"/>
    </row>
    <row r="51" spans="14:17" x14ac:dyDescent="0.2">
      <c r="N51" s="28"/>
      <c r="O51" s="28"/>
      <c r="P51" s="28"/>
      <c r="Q51" s="28"/>
    </row>
    <row r="52" spans="14:17" x14ac:dyDescent="0.2">
      <c r="N52" s="28"/>
      <c r="O52" s="28"/>
      <c r="P52" s="28"/>
      <c r="Q52" s="28"/>
    </row>
    <row r="53" spans="14:17" x14ac:dyDescent="0.2">
      <c r="N53" s="28"/>
      <c r="O53" s="28"/>
      <c r="P53" s="28"/>
      <c r="Q53" s="28"/>
    </row>
    <row r="54" spans="14:17" x14ac:dyDescent="0.2">
      <c r="N54" s="28"/>
      <c r="O54" s="28"/>
      <c r="P54" s="28"/>
      <c r="Q54" s="28"/>
    </row>
    <row r="55" spans="14:17" x14ac:dyDescent="0.2">
      <c r="N55" s="28"/>
      <c r="O55" s="28"/>
      <c r="P55" s="28"/>
      <c r="Q55" s="28"/>
    </row>
    <row r="56" spans="14:17" x14ac:dyDescent="0.2">
      <c r="N56" s="28"/>
      <c r="O56" s="28"/>
      <c r="P56" s="28"/>
      <c r="Q56" s="28"/>
    </row>
    <row r="57" spans="14:17" x14ac:dyDescent="0.2">
      <c r="N57" s="28"/>
      <c r="O57" s="28"/>
      <c r="P57" s="28"/>
      <c r="Q57" s="28"/>
    </row>
    <row r="58" spans="14:17" x14ac:dyDescent="0.2">
      <c r="N58" s="28"/>
      <c r="O58" s="28"/>
      <c r="P58" s="28"/>
      <c r="Q58" s="28"/>
    </row>
    <row r="59" spans="14:17" x14ac:dyDescent="0.2">
      <c r="N59" s="28"/>
      <c r="O59" s="28"/>
      <c r="P59" s="28"/>
      <c r="Q59" s="28"/>
    </row>
    <row r="60" spans="14:17" x14ac:dyDescent="0.2">
      <c r="N60" s="28"/>
      <c r="O60" s="28"/>
      <c r="P60" s="28"/>
      <c r="Q60" s="28"/>
    </row>
    <row r="61" spans="14:17" x14ac:dyDescent="0.2">
      <c r="N61" s="28"/>
      <c r="O61" s="28"/>
      <c r="P61" s="28"/>
      <c r="Q61" s="28"/>
    </row>
    <row r="62" spans="14:17" x14ac:dyDescent="0.2">
      <c r="N62" s="28"/>
      <c r="O62" s="28"/>
      <c r="P62" s="28"/>
      <c r="Q62" s="28"/>
    </row>
    <row r="63" spans="14:17" x14ac:dyDescent="0.2">
      <c r="N63" s="28"/>
      <c r="O63" s="28"/>
      <c r="P63" s="28"/>
      <c r="Q63" s="28"/>
    </row>
    <row r="64" spans="14:17" x14ac:dyDescent="0.2">
      <c r="N64" s="28"/>
      <c r="O64" s="28"/>
      <c r="P64" s="28"/>
      <c r="Q64" s="28"/>
    </row>
    <row r="65" spans="14:17" x14ac:dyDescent="0.2">
      <c r="N65" s="28"/>
      <c r="O65" s="28"/>
      <c r="P65" s="28"/>
      <c r="Q65" s="28"/>
    </row>
    <row r="66" spans="14:17" x14ac:dyDescent="0.2">
      <c r="N66" s="28"/>
      <c r="O66" s="28"/>
      <c r="P66" s="28"/>
      <c r="Q66" s="28"/>
    </row>
    <row r="67" spans="14:17" x14ac:dyDescent="0.2">
      <c r="N67" s="28"/>
      <c r="O67" s="28"/>
      <c r="P67" s="28"/>
      <c r="Q67" s="28"/>
    </row>
    <row r="68" spans="14:17" x14ac:dyDescent="0.2">
      <c r="N68" s="28"/>
      <c r="O68" s="28"/>
      <c r="P68" s="28"/>
      <c r="Q68" s="28"/>
    </row>
    <row r="69" spans="14:17" x14ac:dyDescent="0.2">
      <c r="N69" s="28"/>
      <c r="O69" s="28"/>
      <c r="P69" s="28"/>
      <c r="Q69" s="28"/>
    </row>
    <row r="70" spans="14:17" x14ac:dyDescent="0.2">
      <c r="N70" s="28"/>
      <c r="O70" s="28"/>
      <c r="P70" s="28"/>
      <c r="Q70" s="28"/>
    </row>
    <row r="71" spans="14:17" x14ac:dyDescent="0.2">
      <c r="N71" s="28"/>
      <c r="O71" s="28"/>
      <c r="P71" s="28"/>
      <c r="Q71" s="28"/>
    </row>
    <row r="72" spans="14:17" x14ac:dyDescent="0.2">
      <c r="N72" s="28"/>
      <c r="O72" s="28"/>
      <c r="P72" s="28"/>
      <c r="Q72" s="28"/>
    </row>
    <row r="73" spans="14:17" x14ac:dyDescent="0.2">
      <c r="N73" s="28"/>
      <c r="O73" s="28"/>
      <c r="P73" s="28"/>
      <c r="Q73" s="28"/>
    </row>
    <row r="74" spans="14:17" x14ac:dyDescent="0.2">
      <c r="N74" s="28"/>
      <c r="O74" s="28"/>
      <c r="P74" s="28"/>
      <c r="Q74" s="28"/>
    </row>
    <row r="75" spans="14:17" x14ac:dyDescent="0.2">
      <c r="N75" s="28"/>
      <c r="O75" s="28"/>
      <c r="P75" s="28"/>
      <c r="Q75" s="28"/>
    </row>
    <row r="76" spans="14:17" x14ac:dyDescent="0.2">
      <c r="N76" s="28"/>
      <c r="O76" s="28"/>
      <c r="P76" s="28"/>
      <c r="Q76" s="28"/>
    </row>
    <row r="77" spans="14:17" x14ac:dyDescent="0.2">
      <c r="N77" s="28"/>
      <c r="O77" s="28"/>
      <c r="P77" s="28"/>
      <c r="Q77" s="28"/>
    </row>
    <row r="78" spans="14:17" x14ac:dyDescent="0.2">
      <c r="N78" s="28"/>
      <c r="O78" s="28"/>
      <c r="P78" s="28"/>
      <c r="Q78" s="28"/>
    </row>
    <row r="79" spans="14:17" x14ac:dyDescent="0.2">
      <c r="N79" s="28"/>
      <c r="O79" s="28"/>
      <c r="P79" s="28"/>
      <c r="Q79" s="28"/>
    </row>
    <row r="80" spans="14:17" x14ac:dyDescent="0.2">
      <c r="N80" s="28"/>
      <c r="O80" s="28"/>
      <c r="P80" s="28"/>
      <c r="Q80" s="28"/>
    </row>
    <row r="81" spans="14:17" x14ac:dyDescent="0.2">
      <c r="N81" s="28"/>
      <c r="O81" s="28"/>
      <c r="P81" s="28"/>
      <c r="Q81" s="28"/>
    </row>
    <row r="82" spans="14:17" x14ac:dyDescent="0.2">
      <c r="N82" s="28"/>
      <c r="O82" s="28"/>
      <c r="P82" s="28"/>
      <c r="Q82" s="28"/>
    </row>
    <row r="83" spans="14:17" x14ac:dyDescent="0.2">
      <c r="N83" s="28"/>
      <c r="O83" s="28"/>
      <c r="P83" s="28"/>
      <c r="Q83" s="28"/>
    </row>
    <row r="84" spans="14:17" x14ac:dyDescent="0.2">
      <c r="N84" s="28"/>
      <c r="O84" s="28"/>
      <c r="P84" s="28"/>
      <c r="Q84" s="28"/>
    </row>
    <row r="85" spans="14:17" x14ac:dyDescent="0.2">
      <c r="N85" s="28"/>
      <c r="O85" s="28"/>
      <c r="P85" s="28"/>
      <c r="Q85" s="28"/>
    </row>
    <row r="86" spans="14:17" x14ac:dyDescent="0.2">
      <c r="N86" s="28"/>
      <c r="O86" s="28"/>
      <c r="P86" s="28"/>
      <c r="Q86" s="28"/>
    </row>
    <row r="87" spans="14:17" x14ac:dyDescent="0.2">
      <c r="N87" s="28"/>
      <c r="O87" s="28"/>
      <c r="P87" s="28"/>
      <c r="Q87" s="28"/>
    </row>
    <row r="88" spans="14:17" x14ac:dyDescent="0.2">
      <c r="N88" s="28"/>
      <c r="O88" s="28"/>
      <c r="P88" s="28"/>
      <c r="Q88" s="28"/>
    </row>
    <row r="89" spans="14:17" x14ac:dyDescent="0.2">
      <c r="N89" s="28"/>
      <c r="O89" s="28"/>
      <c r="P89" s="28"/>
      <c r="Q89" s="28"/>
    </row>
    <row r="90" spans="14:17" x14ac:dyDescent="0.2">
      <c r="N90" s="28"/>
      <c r="O90" s="28"/>
      <c r="P90" s="28"/>
      <c r="Q90" s="28"/>
    </row>
    <row r="91" spans="14:17" x14ac:dyDescent="0.2">
      <c r="N91" s="28"/>
      <c r="O91" s="28"/>
      <c r="P91" s="28"/>
      <c r="Q91" s="28"/>
    </row>
    <row r="92" spans="14:17" x14ac:dyDescent="0.2">
      <c r="N92" s="28"/>
      <c r="O92" s="28"/>
      <c r="P92" s="28"/>
      <c r="Q92" s="28"/>
    </row>
    <row r="93" spans="14:17" x14ac:dyDescent="0.2">
      <c r="N93" s="28"/>
      <c r="O93" s="28"/>
      <c r="P93" s="28"/>
      <c r="Q93" s="28"/>
    </row>
    <row r="94" spans="14:17" x14ac:dyDescent="0.2">
      <c r="N94" s="28"/>
      <c r="O94" s="28"/>
      <c r="P94" s="28"/>
      <c r="Q94" s="28"/>
    </row>
    <row r="95" spans="14:17" x14ac:dyDescent="0.2">
      <c r="N95" s="28"/>
      <c r="O95" s="28"/>
      <c r="P95" s="28"/>
      <c r="Q95" s="28"/>
    </row>
    <row r="96" spans="14:17" x14ac:dyDescent="0.2">
      <c r="N96" s="28"/>
      <c r="O96" s="28"/>
      <c r="P96" s="28"/>
      <c r="Q96" s="28"/>
    </row>
    <row r="97" spans="14:17" x14ac:dyDescent="0.2">
      <c r="N97" s="28"/>
      <c r="O97" s="28"/>
      <c r="P97" s="28"/>
      <c r="Q97" s="28"/>
    </row>
    <row r="98" spans="14:17" x14ac:dyDescent="0.2">
      <c r="N98" s="28"/>
      <c r="O98" s="28"/>
      <c r="P98" s="28"/>
      <c r="Q98" s="28"/>
    </row>
    <row r="99" spans="14:17" x14ac:dyDescent="0.2">
      <c r="N99" s="28"/>
      <c r="O99" s="28"/>
      <c r="P99" s="28"/>
      <c r="Q99" s="28"/>
    </row>
    <row r="100" spans="14:17" x14ac:dyDescent="0.2">
      <c r="N100" s="28"/>
      <c r="O100" s="28"/>
      <c r="P100" s="28"/>
      <c r="Q100" s="28"/>
    </row>
    <row r="101" spans="14:17" x14ac:dyDescent="0.2">
      <c r="N101" s="28"/>
      <c r="O101" s="28"/>
      <c r="P101" s="28"/>
      <c r="Q101" s="28"/>
    </row>
    <row r="102" spans="14:17" x14ac:dyDescent="0.2">
      <c r="N102" s="28"/>
      <c r="O102" s="28"/>
      <c r="P102" s="28"/>
      <c r="Q102" s="28"/>
    </row>
    <row r="103" spans="14:17" x14ac:dyDescent="0.2">
      <c r="N103" s="28"/>
      <c r="O103" s="28"/>
      <c r="P103" s="28"/>
      <c r="Q103" s="28"/>
    </row>
    <row r="104" spans="14:17" x14ac:dyDescent="0.2">
      <c r="N104" s="28"/>
      <c r="O104" s="28"/>
      <c r="P104" s="28"/>
      <c r="Q104" s="28"/>
    </row>
    <row r="105" spans="14:17" x14ac:dyDescent="0.2">
      <c r="N105" s="28"/>
      <c r="O105" s="28"/>
      <c r="P105" s="28"/>
      <c r="Q105" s="28"/>
    </row>
    <row r="106" spans="14:17" x14ac:dyDescent="0.2">
      <c r="N106" s="28"/>
      <c r="O106" s="28"/>
      <c r="P106" s="28"/>
      <c r="Q106" s="28"/>
    </row>
    <row r="107" spans="14:17" x14ac:dyDescent="0.2">
      <c r="N107" s="28"/>
      <c r="O107" s="28"/>
      <c r="P107" s="28"/>
      <c r="Q107" s="28"/>
    </row>
    <row r="108" spans="14:17" x14ac:dyDescent="0.2">
      <c r="N108" s="28"/>
      <c r="O108" s="28"/>
      <c r="P108" s="28"/>
      <c r="Q108" s="28"/>
    </row>
    <row r="109" spans="14:17" x14ac:dyDescent="0.2">
      <c r="N109" s="28"/>
      <c r="O109" s="28"/>
      <c r="P109" s="28"/>
      <c r="Q109" s="28"/>
    </row>
    <row r="110" spans="14:17" x14ac:dyDescent="0.2">
      <c r="N110" s="28"/>
      <c r="O110" s="28"/>
      <c r="P110" s="28"/>
      <c r="Q110" s="28"/>
    </row>
    <row r="111" spans="14:17" x14ac:dyDescent="0.2">
      <c r="N111" s="28"/>
      <c r="O111" s="28"/>
      <c r="P111" s="28"/>
      <c r="Q111" s="28"/>
    </row>
    <row r="112" spans="14:17" x14ac:dyDescent="0.2">
      <c r="N112" s="28"/>
      <c r="O112" s="28"/>
      <c r="P112" s="28"/>
      <c r="Q112" s="28"/>
    </row>
    <row r="113" spans="14:17" x14ac:dyDescent="0.2">
      <c r="N113" s="28"/>
      <c r="O113" s="28"/>
      <c r="P113" s="28"/>
      <c r="Q113" s="28"/>
    </row>
    <row r="114" spans="14:17" x14ac:dyDescent="0.2">
      <c r="N114" s="28"/>
      <c r="O114" s="28"/>
      <c r="P114" s="28"/>
      <c r="Q114" s="28"/>
    </row>
    <row r="115" spans="14:17" x14ac:dyDescent="0.2">
      <c r="N115" s="28"/>
      <c r="O115" s="28"/>
      <c r="P115" s="28"/>
      <c r="Q115" s="28"/>
    </row>
    <row r="116" spans="14:17" x14ac:dyDescent="0.2">
      <c r="N116" s="28"/>
      <c r="O116" s="28"/>
      <c r="P116" s="28"/>
      <c r="Q116" s="28"/>
    </row>
    <row r="117" spans="14:17" x14ac:dyDescent="0.2">
      <c r="N117" s="28"/>
      <c r="O117" s="28"/>
      <c r="P117" s="28"/>
      <c r="Q117" s="28"/>
    </row>
    <row r="118" spans="14:17" x14ac:dyDescent="0.2">
      <c r="N118" s="28"/>
      <c r="O118" s="28"/>
      <c r="P118" s="28"/>
      <c r="Q118" s="28"/>
    </row>
    <row r="119" spans="14:17" x14ac:dyDescent="0.2">
      <c r="N119" s="28"/>
      <c r="O119" s="28"/>
      <c r="P119" s="28"/>
      <c r="Q119" s="28"/>
    </row>
    <row r="120" spans="14:17" x14ac:dyDescent="0.2">
      <c r="N120" s="28"/>
      <c r="O120" s="28"/>
      <c r="P120" s="28"/>
      <c r="Q120" s="28"/>
    </row>
    <row r="121" spans="14:17" x14ac:dyDescent="0.2">
      <c r="N121" s="28"/>
      <c r="O121" s="28"/>
      <c r="P121" s="28"/>
      <c r="Q121" s="28"/>
    </row>
    <row r="122" spans="14:17" x14ac:dyDescent="0.2">
      <c r="N122" s="28"/>
      <c r="O122" s="28"/>
      <c r="P122" s="28"/>
      <c r="Q122" s="28"/>
    </row>
    <row r="123" spans="14:17" x14ac:dyDescent="0.2">
      <c r="N123" s="28"/>
      <c r="O123" s="28"/>
      <c r="P123" s="28"/>
      <c r="Q123" s="28"/>
    </row>
    <row r="124" spans="14:17" x14ac:dyDescent="0.2">
      <c r="N124" s="28"/>
      <c r="O124" s="28"/>
      <c r="P124" s="28"/>
      <c r="Q124" s="28"/>
    </row>
    <row r="125" spans="14:17" x14ac:dyDescent="0.2">
      <c r="N125" s="28"/>
      <c r="O125" s="28"/>
      <c r="P125" s="28"/>
      <c r="Q125" s="28"/>
    </row>
    <row r="126" spans="14:17" x14ac:dyDescent="0.2">
      <c r="N126" s="28"/>
      <c r="O126" s="28"/>
      <c r="P126" s="28"/>
      <c r="Q126" s="28"/>
    </row>
    <row r="127" spans="14:17" x14ac:dyDescent="0.2">
      <c r="N127" s="28"/>
      <c r="O127" s="28"/>
      <c r="P127" s="28"/>
      <c r="Q127" s="28"/>
    </row>
    <row r="128" spans="14:17" x14ac:dyDescent="0.2">
      <c r="N128" s="28"/>
      <c r="O128" s="28"/>
      <c r="P128" s="28"/>
      <c r="Q128" s="28"/>
    </row>
    <row r="129" spans="14:17" x14ac:dyDescent="0.2">
      <c r="N129" s="28"/>
      <c r="O129" s="28"/>
      <c r="P129" s="28"/>
      <c r="Q129" s="28"/>
    </row>
    <row r="130" spans="14:17" x14ac:dyDescent="0.2">
      <c r="N130" s="28"/>
      <c r="O130" s="28"/>
      <c r="P130" s="28"/>
      <c r="Q130" s="28"/>
    </row>
    <row r="131" spans="14:17" x14ac:dyDescent="0.2">
      <c r="N131" s="28"/>
      <c r="O131" s="28"/>
      <c r="P131" s="28"/>
      <c r="Q131" s="28"/>
    </row>
    <row r="132" spans="14:17" x14ac:dyDescent="0.2">
      <c r="N132" s="28"/>
      <c r="O132" s="28"/>
      <c r="P132" s="28"/>
      <c r="Q132" s="28"/>
    </row>
    <row r="133" spans="14:17" x14ac:dyDescent="0.2">
      <c r="N133" s="28"/>
      <c r="O133" s="28"/>
      <c r="P133" s="28"/>
      <c r="Q133" s="28"/>
    </row>
    <row r="134" spans="14:17" x14ac:dyDescent="0.2">
      <c r="N134" s="28"/>
      <c r="O134" s="28"/>
      <c r="P134" s="28"/>
      <c r="Q134" s="28"/>
    </row>
    <row r="135" spans="14:17" x14ac:dyDescent="0.2">
      <c r="N135" s="28"/>
      <c r="O135" s="28"/>
      <c r="P135" s="28"/>
      <c r="Q135" s="28"/>
    </row>
    <row r="136" spans="14:17" x14ac:dyDescent="0.2">
      <c r="N136" s="28"/>
      <c r="O136" s="28"/>
      <c r="P136" s="28"/>
      <c r="Q136" s="28"/>
    </row>
    <row r="137" spans="14:17" x14ac:dyDescent="0.2">
      <c r="N137" s="28"/>
      <c r="O137" s="28"/>
      <c r="P137" s="28"/>
      <c r="Q137" s="28"/>
    </row>
    <row r="138" spans="14:17" x14ac:dyDescent="0.2">
      <c r="N138" s="28"/>
      <c r="O138" s="28"/>
      <c r="P138" s="28"/>
      <c r="Q138" s="28"/>
    </row>
    <row r="139" spans="14:17" x14ac:dyDescent="0.2">
      <c r="N139" s="28"/>
      <c r="O139" s="28"/>
      <c r="P139" s="28"/>
      <c r="Q139" s="28"/>
    </row>
    <row r="140" spans="14:17" x14ac:dyDescent="0.2">
      <c r="N140" s="28"/>
      <c r="O140" s="28"/>
      <c r="P140" s="28"/>
      <c r="Q140" s="28"/>
    </row>
    <row r="141" spans="14:17" x14ac:dyDescent="0.2">
      <c r="N141" s="28"/>
      <c r="O141" s="28"/>
      <c r="P141" s="28"/>
      <c r="Q141" s="28"/>
    </row>
    <row r="142" spans="14:17" x14ac:dyDescent="0.2">
      <c r="N142" s="28"/>
      <c r="O142" s="28"/>
      <c r="P142" s="28"/>
      <c r="Q142" s="28"/>
    </row>
    <row r="143" spans="14:17" x14ac:dyDescent="0.2">
      <c r="N143" s="28"/>
      <c r="O143" s="28"/>
      <c r="P143" s="28"/>
      <c r="Q143" s="28"/>
    </row>
    <row r="144" spans="14:17" x14ac:dyDescent="0.2">
      <c r="N144" s="28"/>
      <c r="O144" s="28"/>
      <c r="P144" s="28"/>
      <c r="Q144" s="28"/>
    </row>
    <row r="145" spans="14:17" x14ac:dyDescent="0.2">
      <c r="N145" s="28"/>
      <c r="O145" s="28"/>
      <c r="P145" s="28"/>
      <c r="Q145" s="28"/>
    </row>
    <row r="146" spans="14:17" x14ac:dyDescent="0.2">
      <c r="N146" s="28"/>
      <c r="O146" s="28"/>
      <c r="P146" s="28"/>
      <c r="Q146" s="28"/>
    </row>
    <row r="147" spans="14:17" x14ac:dyDescent="0.2">
      <c r="N147" s="28"/>
      <c r="O147" s="28"/>
      <c r="P147" s="28"/>
      <c r="Q147" s="28"/>
    </row>
    <row r="148" spans="14:17" x14ac:dyDescent="0.2">
      <c r="N148" s="28"/>
      <c r="O148" s="28"/>
      <c r="P148" s="28"/>
      <c r="Q148" s="28"/>
    </row>
    <row r="149" spans="14:17" x14ac:dyDescent="0.2">
      <c r="N149" s="28"/>
      <c r="O149" s="28"/>
      <c r="P149" s="28"/>
      <c r="Q149" s="28"/>
    </row>
    <row r="150" spans="14:17" x14ac:dyDescent="0.2">
      <c r="N150" s="28"/>
      <c r="O150" s="28"/>
      <c r="P150" s="28"/>
      <c r="Q150" s="28"/>
    </row>
    <row r="151" spans="14:17" x14ac:dyDescent="0.2">
      <c r="N151" s="28"/>
      <c r="O151" s="28"/>
      <c r="P151" s="28"/>
      <c r="Q151" s="28"/>
    </row>
    <row r="152" spans="14:17" x14ac:dyDescent="0.2">
      <c r="N152" s="28"/>
      <c r="O152" s="28"/>
      <c r="P152" s="28"/>
      <c r="Q152" s="28"/>
    </row>
    <row r="153" spans="14:17" x14ac:dyDescent="0.2">
      <c r="N153" s="28"/>
      <c r="O153" s="28"/>
      <c r="P153" s="28"/>
      <c r="Q153" s="28"/>
    </row>
    <row r="154" spans="14:17" x14ac:dyDescent="0.2">
      <c r="N154" s="28"/>
      <c r="O154" s="28"/>
      <c r="P154" s="28"/>
      <c r="Q154" s="28"/>
    </row>
    <row r="155" spans="14:17" x14ac:dyDescent="0.2">
      <c r="N155" s="28"/>
      <c r="O155" s="28"/>
      <c r="P155" s="28"/>
      <c r="Q155" s="28"/>
    </row>
    <row r="156" spans="14:17" x14ac:dyDescent="0.2">
      <c r="N156" s="28"/>
      <c r="O156" s="28"/>
      <c r="P156" s="28"/>
      <c r="Q156" s="28"/>
    </row>
    <row r="157" spans="14:17" x14ac:dyDescent="0.2">
      <c r="N157" s="28"/>
      <c r="O157" s="28"/>
      <c r="P157" s="28"/>
      <c r="Q157" s="28"/>
    </row>
    <row r="158" spans="14:17" x14ac:dyDescent="0.2">
      <c r="N158" s="28"/>
      <c r="O158" s="28"/>
      <c r="P158" s="28"/>
      <c r="Q158" s="28"/>
    </row>
    <row r="159" spans="14:17" x14ac:dyDescent="0.2">
      <c r="N159" s="28"/>
      <c r="O159" s="28"/>
      <c r="P159" s="28"/>
      <c r="Q159" s="28"/>
    </row>
    <row r="160" spans="14:17" x14ac:dyDescent="0.2">
      <c r="N160" s="28"/>
      <c r="O160" s="28"/>
      <c r="P160" s="28"/>
      <c r="Q160" s="28"/>
    </row>
    <row r="161" spans="14:17" x14ac:dyDescent="0.2">
      <c r="N161" s="28"/>
      <c r="O161" s="28"/>
      <c r="P161" s="28"/>
      <c r="Q161" s="28"/>
    </row>
    <row r="162" spans="14:17" x14ac:dyDescent="0.2">
      <c r="N162" s="28"/>
      <c r="O162" s="28"/>
      <c r="P162" s="28"/>
      <c r="Q162" s="28"/>
    </row>
    <row r="163" spans="14:17" x14ac:dyDescent="0.2">
      <c r="N163" s="28"/>
      <c r="O163" s="28"/>
      <c r="P163" s="28"/>
      <c r="Q163" s="28"/>
    </row>
    <row r="164" spans="14:17" x14ac:dyDescent="0.2">
      <c r="N164" s="28"/>
      <c r="O164" s="28"/>
      <c r="P164" s="28"/>
      <c r="Q164" s="28"/>
    </row>
    <row r="165" spans="14:17" x14ac:dyDescent="0.2">
      <c r="N165" s="28"/>
      <c r="O165" s="28"/>
      <c r="P165" s="28"/>
      <c r="Q165" s="28"/>
    </row>
    <row r="166" spans="14:17" x14ac:dyDescent="0.2">
      <c r="N166" s="28"/>
      <c r="O166" s="28"/>
      <c r="P166" s="28"/>
      <c r="Q166" s="28"/>
    </row>
    <row r="167" spans="14:17" x14ac:dyDescent="0.2">
      <c r="N167" s="28"/>
      <c r="O167" s="28"/>
      <c r="P167" s="28"/>
      <c r="Q167" s="28"/>
    </row>
    <row r="168" spans="14:17" x14ac:dyDescent="0.2">
      <c r="N168" s="28"/>
      <c r="O168" s="28"/>
      <c r="P168" s="28"/>
      <c r="Q168" s="28"/>
    </row>
    <row r="169" spans="14:17" x14ac:dyDescent="0.2">
      <c r="N169" s="28"/>
      <c r="O169" s="28"/>
      <c r="P169" s="28"/>
      <c r="Q169" s="28"/>
    </row>
    <row r="170" spans="14:17" x14ac:dyDescent="0.2">
      <c r="N170" s="28"/>
      <c r="O170" s="28"/>
      <c r="P170" s="28"/>
      <c r="Q170" s="28"/>
    </row>
    <row r="171" spans="14:17" x14ac:dyDescent="0.2">
      <c r="N171" s="28"/>
      <c r="O171" s="28"/>
      <c r="P171" s="28"/>
      <c r="Q171" s="28"/>
    </row>
    <row r="172" spans="14:17" x14ac:dyDescent="0.2">
      <c r="N172" s="28"/>
      <c r="O172" s="28"/>
      <c r="P172" s="28"/>
      <c r="Q172" s="28"/>
    </row>
    <row r="173" spans="14:17" x14ac:dyDescent="0.2">
      <c r="N173" s="28"/>
      <c r="O173" s="28"/>
      <c r="P173" s="28"/>
      <c r="Q173" s="28"/>
    </row>
    <row r="174" spans="14:17" x14ac:dyDescent="0.2">
      <c r="N174" s="28"/>
      <c r="O174" s="28"/>
      <c r="P174" s="28"/>
      <c r="Q174" s="28"/>
    </row>
    <row r="175" spans="14:17" x14ac:dyDescent="0.2">
      <c r="N175" s="28"/>
      <c r="O175" s="28"/>
      <c r="P175" s="28"/>
      <c r="Q175" s="28"/>
    </row>
    <row r="176" spans="14:17" x14ac:dyDescent="0.2">
      <c r="N176" s="28"/>
      <c r="O176" s="28"/>
      <c r="P176" s="28"/>
      <c r="Q176" s="28"/>
    </row>
    <row r="177" spans="14:17" x14ac:dyDescent="0.2">
      <c r="N177" s="28"/>
      <c r="O177" s="28"/>
      <c r="P177" s="28"/>
      <c r="Q177" s="28"/>
    </row>
    <row r="178" spans="14:17" x14ac:dyDescent="0.2">
      <c r="N178" s="28"/>
      <c r="O178" s="28"/>
      <c r="P178" s="28"/>
      <c r="Q178" s="28"/>
    </row>
    <row r="179" spans="14:17" x14ac:dyDescent="0.2">
      <c r="N179" s="28"/>
      <c r="O179" s="28"/>
      <c r="P179" s="28"/>
      <c r="Q179" s="28"/>
    </row>
    <row r="180" spans="14:17" x14ac:dyDescent="0.2">
      <c r="N180" s="28"/>
      <c r="O180" s="28"/>
      <c r="P180" s="28"/>
      <c r="Q180" s="28"/>
    </row>
    <row r="181" spans="14:17" x14ac:dyDescent="0.2">
      <c r="N181" s="28"/>
      <c r="O181" s="28"/>
      <c r="P181" s="28"/>
      <c r="Q181" s="28"/>
    </row>
    <row r="182" spans="14:17" x14ac:dyDescent="0.2">
      <c r="N182" s="28"/>
      <c r="O182" s="28"/>
      <c r="P182" s="28"/>
      <c r="Q182" s="28"/>
    </row>
    <row r="183" spans="14:17" x14ac:dyDescent="0.2">
      <c r="N183" s="28"/>
      <c r="O183" s="28"/>
      <c r="P183" s="28"/>
      <c r="Q183" s="28"/>
    </row>
    <row r="184" spans="14:17" x14ac:dyDescent="0.2">
      <c r="N184" s="28"/>
      <c r="O184" s="28"/>
      <c r="P184" s="28"/>
      <c r="Q184" s="28"/>
    </row>
    <row r="185" spans="14:17" x14ac:dyDescent="0.2">
      <c r="N185" s="28"/>
      <c r="O185" s="28"/>
      <c r="P185" s="28"/>
      <c r="Q185" s="28"/>
    </row>
    <row r="186" spans="14:17" x14ac:dyDescent="0.2">
      <c r="N186" s="28"/>
      <c r="O186" s="28"/>
      <c r="P186" s="28"/>
      <c r="Q186" s="28"/>
    </row>
    <row r="187" spans="14:17" x14ac:dyDescent="0.2">
      <c r="N187" s="28"/>
      <c r="O187" s="28"/>
      <c r="P187" s="28"/>
      <c r="Q187" s="28"/>
    </row>
    <row r="188" spans="14:17" x14ac:dyDescent="0.2">
      <c r="N188" s="28"/>
      <c r="O188" s="28"/>
      <c r="P188" s="28"/>
      <c r="Q188" s="28"/>
    </row>
    <row r="189" spans="14:17" x14ac:dyDescent="0.2">
      <c r="N189" s="28"/>
      <c r="O189" s="28"/>
      <c r="P189" s="28"/>
      <c r="Q189" s="28"/>
    </row>
    <row r="190" spans="14:17" x14ac:dyDescent="0.2">
      <c r="N190" s="28"/>
      <c r="O190" s="28"/>
      <c r="P190" s="28"/>
      <c r="Q190" s="28"/>
    </row>
    <row r="191" spans="14:17" x14ac:dyDescent="0.2">
      <c r="N191" s="28"/>
      <c r="O191" s="28"/>
      <c r="P191" s="28"/>
      <c r="Q191" s="28"/>
    </row>
    <row r="192" spans="14:17" x14ac:dyDescent="0.2">
      <c r="N192" s="28"/>
      <c r="O192" s="28"/>
      <c r="P192" s="28"/>
      <c r="Q192" s="28"/>
    </row>
    <row r="193" spans="14:17" x14ac:dyDescent="0.2">
      <c r="N193" s="28"/>
      <c r="O193" s="28"/>
      <c r="P193" s="28"/>
      <c r="Q193" s="28"/>
    </row>
    <row r="194" spans="14:17" x14ac:dyDescent="0.2">
      <c r="N194" s="28"/>
      <c r="O194" s="28"/>
      <c r="P194" s="28"/>
      <c r="Q194" s="28"/>
    </row>
    <row r="195" spans="14:17" x14ac:dyDescent="0.2">
      <c r="N195" s="28"/>
      <c r="O195" s="28"/>
      <c r="P195" s="28"/>
      <c r="Q195" s="28"/>
    </row>
    <row r="196" spans="14:17" x14ac:dyDescent="0.2">
      <c r="N196" s="28"/>
      <c r="O196" s="28"/>
      <c r="P196" s="28"/>
      <c r="Q196" s="28"/>
    </row>
    <row r="197" spans="14:17" x14ac:dyDescent="0.2">
      <c r="N197" s="28"/>
      <c r="O197" s="28"/>
      <c r="P197" s="28"/>
      <c r="Q197" s="28"/>
    </row>
    <row r="198" spans="14:17" x14ac:dyDescent="0.2">
      <c r="N198" s="28"/>
      <c r="O198" s="28"/>
      <c r="P198" s="28"/>
      <c r="Q198" s="28"/>
    </row>
    <row r="199" spans="14:17" x14ac:dyDescent="0.2">
      <c r="N199" s="28"/>
      <c r="O199" s="28"/>
      <c r="P199" s="28"/>
      <c r="Q199" s="28"/>
    </row>
    <row r="200" spans="14:17" x14ac:dyDescent="0.2">
      <c r="N200" s="28"/>
      <c r="O200" s="28"/>
      <c r="P200" s="28"/>
      <c r="Q200" s="28"/>
    </row>
    <row r="201" spans="14:17" x14ac:dyDescent="0.2">
      <c r="N201" s="28"/>
      <c r="O201" s="28"/>
      <c r="P201" s="28"/>
      <c r="Q201" s="28"/>
    </row>
    <row r="202" spans="14:17" x14ac:dyDescent="0.2">
      <c r="N202" s="28"/>
      <c r="O202" s="28"/>
      <c r="P202" s="28"/>
      <c r="Q202" s="28"/>
    </row>
    <row r="203" spans="14:17" x14ac:dyDescent="0.2">
      <c r="N203" s="28"/>
      <c r="O203" s="28"/>
      <c r="P203" s="28"/>
      <c r="Q203" s="28"/>
    </row>
    <row r="204" spans="14:17" x14ac:dyDescent="0.2">
      <c r="N204" s="28"/>
      <c r="O204" s="28"/>
      <c r="P204" s="28"/>
      <c r="Q204" s="28"/>
    </row>
    <row r="205" spans="14:17" x14ac:dyDescent="0.2">
      <c r="N205" s="28"/>
      <c r="O205" s="28"/>
      <c r="P205" s="28"/>
      <c r="Q205" s="28"/>
    </row>
    <row r="206" spans="14:17" x14ac:dyDescent="0.2">
      <c r="N206" s="28"/>
      <c r="O206" s="28"/>
      <c r="P206" s="28"/>
      <c r="Q206" s="28"/>
    </row>
    <row r="207" spans="14:17" x14ac:dyDescent="0.2">
      <c r="N207" s="28"/>
      <c r="O207" s="28"/>
      <c r="P207" s="28"/>
      <c r="Q207" s="28"/>
    </row>
    <row r="208" spans="14:17" x14ac:dyDescent="0.2">
      <c r="N208" s="28"/>
      <c r="O208" s="28"/>
      <c r="P208" s="28"/>
      <c r="Q208" s="28"/>
    </row>
    <row r="209" spans="14:17" x14ac:dyDescent="0.2">
      <c r="N209" s="28"/>
      <c r="O209" s="28"/>
      <c r="P209" s="28"/>
      <c r="Q209" s="28"/>
    </row>
    <row r="210" spans="14:17" x14ac:dyDescent="0.2">
      <c r="N210" s="28"/>
      <c r="O210" s="28"/>
      <c r="P210" s="28"/>
      <c r="Q210" s="28"/>
    </row>
    <row r="211" spans="14:17" x14ac:dyDescent="0.2">
      <c r="N211" s="28"/>
      <c r="O211" s="28"/>
      <c r="P211" s="28"/>
      <c r="Q211" s="28"/>
    </row>
    <row r="212" spans="14:17" x14ac:dyDescent="0.2">
      <c r="N212" s="28"/>
      <c r="O212" s="28"/>
      <c r="P212" s="28"/>
      <c r="Q212" s="28"/>
    </row>
    <row r="213" spans="14:17" x14ac:dyDescent="0.2">
      <c r="N213" s="28"/>
      <c r="O213" s="28"/>
      <c r="P213" s="28"/>
      <c r="Q213" s="28"/>
    </row>
    <row r="214" spans="14:17" x14ac:dyDescent="0.2">
      <c r="N214" s="28"/>
      <c r="O214" s="28"/>
      <c r="P214" s="28"/>
      <c r="Q214" s="28"/>
    </row>
    <row r="215" spans="14:17" x14ac:dyDescent="0.2">
      <c r="N215" s="28"/>
      <c r="O215" s="28"/>
      <c r="P215" s="28"/>
      <c r="Q215" s="28"/>
    </row>
    <row r="216" spans="14:17" x14ac:dyDescent="0.2">
      <c r="N216" s="28"/>
      <c r="O216" s="28"/>
      <c r="P216" s="28"/>
      <c r="Q216" s="28"/>
    </row>
    <row r="217" spans="14:17" x14ac:dyDescent="0.2">
      <c r="N217" s="28"/>
      <c r="O217" s="28"/>
      <c r="P217" s="28"/>
      <c r="Q217" s="28"/>
    </row>
    <row r="218" spans="14:17" x14ac:dyDescent="0.2">
      <c r="N218" s="28"/>
      <c r="O218" s="28"/>
      <c r="P218" s="28"/>
      <c r="Q218" s="28"/>
    </row>
    <row r="219" spans="14:17" x14ac:dyDescent="0.2">
      <c r="N219" s="28"/>
      <c r="O219" s="28"/>
      <c r="P219" s="28"/>
      <c r="Q219" s="28"/>
    </row>
    <row r="220" spans="14:17" x14ac:dyDescent="0.2">
      <c r="N220" s="28"/>
      <c r="O220" s="28"/>
      <c r="P220" s="28"/>
      <c r="Q220" s="28"/>
    </row>
    <row r="221" spans="14:17" x14ac:dyDescent="0.2">
      <c r="N221" s="28"/>
      <c r="O221" s="28"/>
      <c r="P221" s="28"/>
      <c r="Q221" s="28"/>
    </row>
    <row r="222" spans="14:17" x14ac:dyDescent="0.2">
      <c r="N222" s="28"/>
      <c r="O222" s="28"/>
      <c r="P222" s="28"/>
      <c r="Q222" s="28"/>
    </row>
    <row r="223" spans="14:17" x14ac:dyDescent="0.2">
      <c r="N223" s="28"/>
      <c r="O223" s="28"/>
      <c r="P223" s="28"/>
      <c r="Q223" s="28"/>
    </row>
    <row r="224" spans="14:17" x14ac:dyDescent="0.2">
      <c r="N224" s="28"/>
      <c r="O224" s="28"/>
      <c r="P224" s="28"/>
      <c r="Q224" s="28"/>
    </row>
    <row r="225" spans="14:17" x14ac:dyDescent="0.2">
      <c r="N225" s="28"/>
      <c r="O225" s="28"/>
      <c r="P225" s="28"/>
      <c r="Q225" s="28"/>
    </row>
    <row r="226" spans="14:17" x14ac:dyDescent="0.2">
      <c r="N226" s="28"/>
      <c r="O226" s="28"/>
      <c r="P226" s="28"/>
      <c r="Q226" s="28"/>
    </row>
    <row r="227" spans="14:17" x14ac:dyDescent="0.2">
      <c r="N227" s="28"/>
      <c r="O227" s="28"/>
      <c r="P227" s="28"/>
      <c r="Q227" s="28"/>
    </row>
    <row r="228" spans="14:17" x14ac:dyDescent="0.2">
      <c r="N228" s="28"/>
      <c r="O228" s="28"/>
      <c r="P228" s="28"/>
      <c r="Q228" s="28"/>
    </row>
    <row r="229" spans="14:17" x14ac:dyDescent="0.2">
      <c r="N229" s="28"/>
      <c r="O229" s="28"/>
      <c r="P229" s="28"/>
      <c r="Q229" s="28"/>
    </row>
    <row r="230" spans="14:17" x14ac:dyDescent="0.2">
      <c r="N230" s="28"/>
      <c r="O230" s="28"/>
      <c r="P230" s="28"/>
      <c r="Q230" s="28"/>
    </row>
    <row r="231" spans="14:17" x14ac:dyDescent="0.2">
      <c r="N231" s="28"/>
      <c r="O231" s="28"/>
      <c r="P231" s="28"/>
      <c r="Q231" s="28"/>
    </row>
    <row r="232" spans="14:17" x14ac:dyDescent="0.2">
      <c r="N232" s="28"/>
      <c r="O232" s="28"/>
      <c r="P232" s="28"/>
      <c r="Q232" s="28"/>
    </row>
    <row r="233" spans="14:17" x14ac:dyDescent="0.2">
      <c r="N233" s="28"/>
      <c r="O233" s="28"/>
      <c r="P233" s="28"/>
      <c r="Q233" s="28"/>
    </row>
    <row r="234" spans="14:17" x14ac:dyDescent="0.2">
      <c r="N234" s="28"/>
      <c r="O234" s="28"/>
      <c r="P234" s="28"/>
      <c r="Q234" s="28"/>
    </row>
    <row r="235" spans="14:17" x14ac:dyDescent="0.2">
      <c r="N235" s="28"/>
      <c r="O235" s="28"/>
      <c r="P235" s="28"/>
      <c r="Q235" s="28"/>
    </row>
    <row r="236" spans="14:17" x14ac:dyDescent="0.2">
      <c r="N236" s="28"/>
      <c r="O236" s="28"/>
      <c r="P236" s="28"/>
      <c r="Q236" s="28"/>
    </row>
    <row r="237" spans="14:17" x14ac:dyDescent="0.2">
      <c r="N237" s="28"/>
      <c r="O237" s="28"/>
      <c r="P237" s="28"/>
      <c r="Q237" s="28"/>
    </row>
    <row r="238" spans="14:17" x14ac:dyDescent="0.2">
      <c r="N238" s="28"/>
      <c r="O238" s="28"/>
      <c r="P238" s="28"/>
      <c r="Q238" s="28"/>
    </row>
    <row r="239" spans="14:17" x14ac:dyDescent="0.2">
      <c r="N239" s="28"/>
      <c r="O239" s="28"/>
      <c r="P239" s="28"/>
      <c r="Q239" s="28"/>
    </row>
    <row r="240" spans="14:17" x14ac:dyDescent="0.2">
      <c r="N240" s="28"/>
      <c r="O240" s="28"/>
      <c r="P240" s="28"/>
      <c r="Q240" s="28"/>
    </row>
    <row r="241" spans="14:17" x14ac:dyDescent="0.2">
      <c r="N241" s="28"/>
      <c r="O241" s="28"/>
      <c r="P241" s="28"/>
      <c r="Q241" s="28"/>
    </row>
    <row r="242" spans="14:17" x14ac:dyDescent="0.2">
      <c r="N242" s="28"/>
      <c r="O242" s="28"/>
      <c r="P242" s="28"/>
      <c r="Q242" s="28"/>
    </row>
    <row r="243" spans="14:17" x14ac:dyDescent="0.2">
      <c r="N243" s="28"/>
      <c r="O243" s="28"/>
      <c r="P243" s="28"/>
      <c r="Q243" s="28"/>
    </row>
    <row r="244" spans="14:17" x14ac:dyDescent="0.2">
      <c r="N244" s="28"/>
      <c r="O244" s="28"/>
      <c r="P244" s="28"/>
      <c r="Q244" s="28"/>
    </row>
    <row r="245" spans="14:17" x14ac:dyDescent="0.2">
      <c r="N245" s="28"/>
      <c r="O245" s="28"/>
      <c r="P245" s="28"/>
      <c r="Q245" s="28"/>
    </row>
    <row r="246" spans="14:17" x14ac:dyDescent="0.2">
      <c r="N246" s="28"/>
      <c r="O246" s="28"/>
      <c r="P246" s="28"/>
      <c r="Q246" s="28"/>
    </row>
    <row r="247" spans="14:17" x14ac:dyDescent="0.2">
      <c r="N247" s="28"/>
      <c r="O247" s="28"/>
      <c r="P247" s="28"/>
      <c r="Q247" s="28"/>
    </row>
    <row r="248" spans="14:17" x14ac:dyDescent="0.2">
      <c r="N248" s="28"/>
      <c r="O248" s="28"/>
      <c r="P248" s="28"/>
      <c r="Q248" s="28"/>
    </row>
    <row r="249" spans="14:17" x14ac:dyDescent="0.2">
      <c r="N249" s="28"/>
      <c r="O249" s="28"/>
      <c r="P249" s="28"/>
      <c r="Q249" s="28"/>
    </row>
    <row r="250" spans="14:17" x14ac:dyDescent="0.2">
      <c r="N250" s="28"/>
      <c r="O250" s="28"/>
      <c r="P250" s="28"/>
      <c r="Q250" s="28"/>
    </row>
    <row r="251" spans="14:17" x14ac:dyDescent="0.2">
      <c r="N251" s="28"/>
      <c r="O251" s="28"/>
      <c r="P251" s="28"/>
      <c r="Q251" s="28"/>
    </row>
    <row r="252" spans="14:17" x14ac:dyDescent="0.2">
      <c r="N252" s="28"/>
      <c r="O252" s="28"/>
      <c r="P252" s="28"/>
      <c r="Q252" s="28"/>
    </row>
    <row r="253" spans="14:17" x14ac:dyDescent="0.2">
      <c r="N253" s="28"/>
      <c r="O253" s="28"/>
      <c r="P253" s="28"/>
      <c r="Q253" s="28"/>
    </row>
    <row r="254" spans="14:17" x14ac:dyDescent="0.2">
      <c r="N254" s="28"/>
      <c r="O254" s="28"/>
      <c r="P254" s="28"/>
      <c r="Q254" s="28"/>
    </row>
    <row r="255" spans="14:17" x14ac:dyDescent="0.2">
      <c r="N255" s="28"/>
      <c r="O255" s="28"/>
      <c r="P255" s="28"/>
      <c r="Q255" s="28"/>
    </row>
    <row r="256" spans="14:17" x14ac:dyDescent="0.2">
      <c r="N256" s="28"/>
      <c r="O256" s="28"/>
      <c r="P256" s="28"/>
      <c r="Q256" s="28"/>
    </row>
    <row r="257" spans="14:17" x14ac:dyDescent="0.2">
      <c r="N257" s="28"/>
      <c r="O257" s="28"/>
      <c r="P257" s="28"/>
      <c r="Q257" s="28"/>
    </row>
    <row r="258" spans="14:17" x14ac:dyDescent="0.2">
      <c r="N258" s="28"/>
      <c r="O258" s="28"/>
      <c r="P258" s="28"/>
      <c r="Q258" s="28"/>
    </row>
    <row r="259" spans="14:17" x14ac:dyDescent="0.2">
      <c r="N259" s="28"/>
      <c r="O259" s="28"/>
      <c r="P259" s="28"/>
      <c r="Q259" s="28"/>
    </row>
    <row r="260" spans="14:17" x14ac:dyDescent="0.2">
      <c r="N260" s="28"/>
      <c r="O260" s="28"/>
      <c r="P260" s="28"/>
      <c r="Q260" s="28"/>
    </row>
    <row r="261" spans="14:17" x14ac:dyDescent="0.2">
      <c r="N261" s="28"/>
      <c r="O261" s="28"/>
      <c r="P261" s="28"/>
      <c r="Q261" s="28"/>
    </row>
    <row r="262" spans="14:17" x14ac:dyDescent="0.2">
      <c r="N262" s="28"/>
      <c r="O262" s="28"/>
      <c r="P262" s="28"/>
      <c r="Q262" s="28"/>
    </row>
    <row r="263" spans="14:17" x14ac:dyDescent="0.2">
      <c r="N263" s="28"/>
      <c r="O263" s="28"/>
      <c r="P263" s="28"/>
      <c r="Q263" s="28"/>
    </row>
    <row r="264" spans="14:17" x14ac:dyDescent="0.2">
      <c r="N264" s="28"/>
      <c r="O264" s="28"/>
      <c r="P264" s="28"/>
      <c r="Q264" s="28"/>
    </row>
    <row r="265" spans="14:17" x14ac:dyDescent="0.2">
      <c r="N265" s="28"/>
      <c r="O265" s="28"/>
      <c r="P265" s="28"/>
      <c r="Q265" s="28"/>
    </row>
    <row r="266" spans="14:17" x14ac:dyDescent="0.2">
      <c r="N266" s="28"/>
      <c r="O266" s="28"/>
      <c r="P266" s="28"/>
      <c r="Q266" s="28"/>
    </row>
    <row r="267" spans="14:17" x14ac:dyDescent="0.2">
      <c r="N267" s="28"/>
      <c r="O267" s="28"/>
      <c r="P267" s="28"/>
      <c r="Q267" s="28"/>
    </row>
    <row r="268" spans="14:17" x14ac:dyDescent="0.2">
      <c r="N268" s="28"/>
      <c r="O268" s="28"/>
      <c r="P268" s="28"/>
      <c r="Q268" s="28"/>
    </row>
    <row r="269" spans="14:17" x14ac:dyDescent="0.2">
      <c r="N269" s="28"/>
      <c r="O269" s="28"/>
      <c r="P269" s="28"/>
      <c r="Q269" s="28"/>
    </row>
    <row r="270" spans="14:17" x14ac:dyDescent="0.2">
      <c r="N270" s="28"/>
      <c r="O270" s="28"/>
      <c r="P270" s="28"/>
      <c r="Q270" s="28"/>
    </row>
    <row r="271" spans="14:17" x14ac:dyDescent="0.2">
      <c r="N271" s="28"/>
      <c r="O271" s="28"/>
      <c r="P271" s="28"/>
      <c r="Q271" s="28"/>
    </row>
    <row r="272" spans="14:17" x14ac:dyDescent="0.2">
      <c r="N272" s="28"/>
      <c r="O272" s="28"/>
      <c r="P272" s="28"/>
      <c r="Q272" s="28"/>
    </row>
    <row r="273" spans="14:17" x14ac:dyDescent="0.2">
      <c r="N273" s="28"/>
      <c r="O273" s="28"/>
      <c r="P273" s="28"/>
      <c r="Q273" s="28"/>
    </row>
    <row r="274" spans="14:17" x14ac:dyDescent="0.2">
      <c r="N274" s="28"/>
      <c r="O274" s="28"/>
      <c r="P274" s="28"/>
      <c r="Q274" s="28"/>
    </row>
    <row r="275" spans="14:17" x14ac:dyDescent="0.2">
      <c r="N275" s="28"/>
      <c r="O275" s="28"/>
      <c r="P275" s="28"/>
      <c r="Q275" s="28"/>
    </row>
    <row r="276" spans="14:17" x14ac:dyDescent="0.2">
      <c r="N276" s="28"/>
      <c r="O276" s="28"/>
      <c r="P276" s="28"/>
      <c r="Q276" s="28"/>
    </row>
    <row r="277" spans="14:17" x14ac:dyDescent="0.2">
      <c r="N277" s="28"/>
      <c r="O277" s="28"/>
      <c r="P277" s="28"/>
      <c r="Q277" s="28"/>
    </row>
    <row r="278" spans="14:17" x14ac:dyDescent="0.2">
      <c r="N278" s="28"/>
      <c r="O278" s="28"/>
      <c r="P278" s="28"/>
      <c r="Q278" s="28"/>
    </row>
    <row r="279" spans="14:17" x14ac:dyDescent="0.2">
      <c r="N279" s="28"/>
      <c r="O279" s="28"/>
      <c r="P279" s="28"/>
      <c r="Q279" s="28"/>
    </row>
    <row r="280" spans="14:17" x14ac:dyDescent="0.2">
      <c r="N280" s="28"/>
      <c r="O280" s="28"/>
      <c r="P280" s="28"/>
      <c r="Q280" s="28"/>
    </row>
  </sheetData>
  <mergeCells count="12">
    <mergeCell ref="C32:C41"/>
    <mergeCell ref="C5:C22"/>
    <mergeCell ref="C23:C31"/>
    <mergeCell ref="A1:G1"/>
    <mergeCell ref="H1:W1"/>
    <mergeCell ref="A2:V2"/>
    <mergeCell ref="A3:B3"/>
    <mergeCell ref="H3:I3"/>
    <mergeCell ref="J3:L3"/>
    <mergeCell ref="N3:O3"/>
    <mergeCell ref="S9:S14"/>
    <mergeCell ref="S15:S17"/>
  </mergeCells>
  <phoneticPr fontId="7" type="noConversion"/>
  <conditionalFormatting sqref="F21:F22">
    <cfRule type="duplicateValues" dxfId="4" priority="1"/>
    <cfRule type="duplicateValues" dxfId="3" priority="2"/>
    <cfRule type="duplicateValues" dxfId="2" priority="3"/>
    <cfRule type="duplicateValues" dxfId="1" priority="4"/>
  </conditionalFormatting>
  <conditionalFormatting sqref="F25:F27">
    <cfRule type="duplicateValues" dxfId="0" priority="10"/>
  </conditionalFormatting>
  <dataValidations count="2">
    <dataValidation type="list" allowBlank="1" showInputMessage="1" showErrorMessage="1" sqref="B5:B41" xr:uid="{00000000-0002-0000-0000-000000000000}">
      <formula1>"项目未开工,项目已开工,售后项目"</formula1>
    </dataValidation>
    <dataValidation type="list" allowBlank="1" showInputMessage="1" showErrorMessage="1" sqref="V5:V41" xr:uid="{00000000-0002-0000-0000-000001000000}">
      <formula1>"分批发包,物料损坏,备品（自用）,备品（合同内）,漏下单,客户设变（付费）,客户设变（公司承担）,物料丢失,设计变更"</formula1>
    </dataValidation>
  </dataValidations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谭秀鹏</cp:lastModifiedBy>
  <dcterms:created xsi:type="dcterms:W3CDTF">2022-07-07T03:43:00Z</dcterms:created>
  <dcterms:modified xsi:type="dcterms:W3CDTF">2025-04-24T06:41:36Z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4AABAEF4F3DF4287BD88CA35AB7CDD39</vt:lpwstr>
  </property>
  <property fmtid="{D5CDD505-2E9C-101B-9397-08002B2CF9AE}" pid="3" name="KSOProductBuildVer">
    <vt:lpwstr>2052-12.1.0.18276</vt:lpwstr>
  </property>
</Properties>
</file>