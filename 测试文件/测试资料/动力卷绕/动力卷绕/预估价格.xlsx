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/>
  <mc:AlternateContent xmlns:mc="http://schemas.openxmlformats.org/markup-compatibility/2006">
    <mc:Choice Requires="x15">
      <x15ac:absPath xmlns:x15ac="http://schemas.microsoft.com/office/spreadsheetml/2010/11/ac" url="D:\Users\12606\Desktop\"/>
    </mc:Choice>
  </mc:AlternateContent>
  <xr:revisionPtr revIDLastSave="0" documentId="13_ncr:1_{9E493C06-35CA-4EA7-87AD-682E22579B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sheet1!$A$4:$W$4</definedName>
  </definedNames>
  <calcPr calcId="181029"/>
</workbook>
</file>

<file path=xl/calcChain.xml><?xml version="1.0" encoding="utf-8"?>
<calcChain xmlns="http://schemas.openxmlformats.org/spreadsheetml/2006/main">
  <c r="M23" i="1" l="1"/>
  <c r="Q5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6" i="1"/>
  <c r="Q57" i="1"/>
  <c r="Q58" i="1"/>
  <c r="Q59" i="1"/>
  <c r="Q5" i="1"/>
  <c r="M26" i="1"/>
  <c r="M25" i="1"/>
  <c r="M24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P63" i="1" l="1"/>
  <c r="M59" i="1"/>
  <c r="M47" i="1"/>
  <c r="M46" i="1"/>
  <c r="M45" i="1"/>
  <c r="M44" i="1"/>
  <c r="M51" i="1"/>
  <c r="M28" i="1" l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8" i="1"/>
  <c r="M49" i="1"/>
  <c r="M50" i="1"/>
  <c r="M52" i="1"/>
  <c r="M54" i="1"/>
  <c r="M55" i="1"/>
  <c r="M56" i="1"/>
  <c r="M57" i="1"/>
  <c r="M58" i="1"/>
  <c r="M27" i="1" l="1"/>
</calcChain>
</file>

<file path=xl/sharedStrings.xml><?xml version="1.0" encoding="utf-8"?>
<sst xmlns="http://schemas.openxmlformats.org/spreadsheetml/2006/main" count="478" uniqueCount="156">
  <si>
    <t>采购申请单</t>
  </si>
  <si>
    <t>请购部门</t>
  </si>
  <si>
    <t>专案编号</t>
  </si>
  <si>
    <t>序号</t>
  </si>
  <si>
    <t>类别</t>
  </si>
  <si>
    <t>物料编号</t>
  </si>
  <si>
    <t>物料名称</t>
  </si>
  <si>
    <t>型号规格/图号</t>
  </si>
  <si>
    <t>品牌/材质</t>
  </si>
  <si>
    <t>单位</t>
  </si>
  <si>
    <t>标准用量</t>
  </si>
  <si>
    <t>需求台数</t>
  </si>
  <si>
    <t>备品数量</t>
  </si>
  <si>
    <t>库存数量</t>
  </si>
  <si>
    <t>总需求数</t>
  </si>
  <si>
    <t>单价</t>
  </si>
  <si>
    <t>总价</t>
  </si>
  <si>
    <t>所属模块</t>
  </si>
  <si>
    <t>备注</t>
  </si>
  <si>
    <t>零件特性</t>
  </si>
  <si>
    <t>ERPNO</t>
  </si>
  <si>
    <t>ECN类别：分批发包/设计变更/备品自用</t>
  </si>
  <si>
    <t>设备号</t>
  </si>
  <si>
    <t>PCS</t>
  </si>
  <si>
    <t>SW软件物料</t>
  </si>
  <si>
    <t>工位</t>
    <phoneticPr fontId="9" type="noConversion"/>
  </si>
  <si>
    <t>刘博</t>
    <phoneticPr fontId="9" type="noConversion"/>
  </si>
  <si>
    <t>分批发包</t>
  </si>
  <si>
    <t>BU3</t>
    <phoneticPr fontId="9" type="noConversion"/>
  </si>
  <si>
    <t>PM</t>
    <phoneticPr fontId="9" type="noConversion"/>
  </si>
  <si>
    <t>工程师</t>
    <phoneticPr fontId="9" type="noConversion"/>
  </si>
  <si>
    <t>谭秀鹏</t>
    <phoneticPr fontId="9" type="noConversion"/>
  </si>
  <si>
    <t>沣洋</t>
    <phoneticPr fontId="9" type="noConversion"/>
  </si>
  <si>
    <t>相机</t>
    <phoneticPr fontId="9" type="noConversion"/>
  </si>
  <si>
    <t>镜头</t>
    <phoneticPr fontId="9" type="noConversion"/>
  </si>
  <si>
    <t>长步道</t>
    <phoneticPr fontId="9" type="noConversion"/>
  </si>
  <si>
    <t>光源延长线</t>
    <phoneticPr fontId="9" type="noConversion"/>
  </si>
  <si>
    <t>平行背光</t>
    <phoneticPr fontId="9" type="noConversion"/>
  </si>
  <si>
    <t>D05011086</t>
    <phoneticPr fontId="9" type="noConversion"/>
  </si>
  <si>
    <t>DNLS2024</t>
    <phoneticPr fontId="9" type="noConversion"/>
  </si>
  <si>
    <t>工控机</t>
    <phoneticPr fontId="9" type="noConversion"/>
  </si>
  <si>
    <t>绿联</t>
    <phoneticPr fontId="9" type="noConversion"/>
  </si>
  <si>
    <t>显示器</t>
    <phoneticPr fontId="9" type="noConversion"/>
  </si>
  <si>
    <t>冠捷</t>
    <phoneticPr fontId="9" type="noConversion"/>
  </si>
  <si>
    <t>C12039141</t>
    <phoneticPr fontId="9" type="noConversion"/>
  </si>
  <si>
    <t>显示器电源线</t>
    <phoneticPr fontId="9" type="noConversion"/>
  </si>
  <si>
    <t>显示器电源线10米</t>
    <phoneticPr fontId="9" type="noConversion"/>
  </si>
  <si>
    <t>C12039401</t>
    <phoneticPr fontId="9" type="noConversion"/>
  </si>
  <si>
    <t>条光源</t>
    <phoneticPr fontId="9" type="noConversion"/>
  </si>
  <si>
    <t>PCS</t>
    <phoneticPr fontId="9" type="noConversion"/>
  </si>
  <si>
    <t>18664952987</t>
    <phoneticPr fontId="9" type="noConversion"/>
  </si>
  <si>
    <t>项目未开工</t>
  </si>
  <si>
    <t>工位1 卷绕</t>
    <phoneticPr fontId="9" type="noConversion"/>
  </si>
  <si>
    <t>D01022316</t>
    <phoneticPr fontId="9" type="noConversion"/>
  </si>
  <si>
    <t>线扫电源线</t>
  </si>
  <si>
    <t>IKPD-1205-H06-S05-F；高柔</t>
    <phoneticPr fontId="9" type="noConversion"/>
  </si>
  <si>
    <t>埃科</t>
    <phoneticPr fontId="9" type="noConversion"/>
  </si>
  <si>
    <t>D01022321</t>
    <phoneticPr fontId="9" type="noConversion"/>
  </si>
  <si>
    <t>CL数据线</t>
    <phoneticPr fontId="9" type="noConversion"/>
  </si>
  <si>
    <t>IKDC-05-CL-SS；高柔</t>
    <phoneticPr fontId="9" type="noConversion"/>
  </si>
  <si>
    <t>B04010070</t>
  </si>
  <si>
    <t>采集卡触发线</t>
  </si>
  <si>
    <t>IKIO-F3-254-3000；3米</t>
  </si>
  <si>
    <t>埃科</t>
  </si>
  <si>
    <t>D01011411</t>
    <phoneticPr fontId="9" type="noConversion"/>
  </si>
  <si>
    <t>PA8KCL-80KM</t>
    <phoneticPr fontId="9" type="noConversion"/>
  </si>
  <si>
    <t>B04010069</t>
    <phoneticPr fontId="9" type="noConversion"/>
  </si>
  <si>
    <t>图像采集卡</t>
  </si>
  <si>
    <t>Vulcan-sCL PE4 Full</t>
    <phoneticPr fontId="9" type="noConversion"/>
  </si>
  <si>
    <t>D01033146</t>
    <phoneticPr fontId="9" type="noConversion"/>
  </si>
  <si>
    <t>接圈</t>
    <phoneticPr fontId="9" type="noConversion"/>
  </si>
  <si>
    <t>OPT-ETB-M72E15</t>
    <phoneticPr fontId="9" type="noConversion"/>
  </si>
  <si>
    <t>OPT</t>
    <phoneticPr fontId="9" type="noConversion"/>
  </si>
  <si>
    <t>D01033116</t>
    <phoneticPr fontId="9" type="noConversion"/>
  </si>
  <si>
    <t>转接环</t>
    <phoneticPr fontId="9" type="noConversion"/>
  </si>
  <si>
    <t>OPT-ADP-M42M72-E8</t>
    <phoneticPr fontId="9" type="noConversion"/>
  </si>
  <si>
    <t>D02033556</t>
    <phoneticPr fontId="9" type="noConversion"/>
  </si>
  <si>
    <t>调焦环</t>
    <phoneticPr fontId="9" type="noConversion"/>
  </si>
  <si>
    <t>OPT-ADP-V38M42-E12-17</t>
    <phoneticPr fontId="9" type="noConversion"/>
  </si>
  <si>
    <t>奥普特</t>
    <phoneticPr fontId="9" type="noConversion"/>
  </si>
  <si>
    <t>D02011099</t>
    <phoneticPr fontId="9" type="noConversion"/>
  </si>
  <si>
    <t>OPT-VCT60/4.0-0.17X</t>
    <phoneticPr fontId="9" type="noConversion"/>
  </si>
  <si>
    <t>P-LSG2-320-W2</t>
    <phoneticPr fontId="9" type="noConversion"/>
  </si>
  <si>
    <t>P-LSG2-320-R2</t>
    <phoneticPr fontId="9" type="noConversion"/>
  </si>
  <si>
    <t>高亮线光</t>
    <phoneticPr fontId="9" type="noConversion"/>
  </si>
  <si>
    <t>锐视</t>
    <phoneticPr fontId="9" type="noConversion"/>
  </si>
  <si>
    <t>AC19-6PL5</t>
    <phoneticPr fontId="9" type="noConversion"/>
  </si>
  <si>
    <t>P-AHC-48W300-2T</t>
    <phoneticPr fontId="9" type="noConversion"/>
  </si>
  <si>
    <t>光源控制器</t>
    <phoneticPr fontId="9" type="noConversion"/>
  </si>
  <si>
    <t>工位2 下料</t>
    <phoneticPr fontId="9" type="noConversion"/>
  </si>
  <si>
    <t>FY-HR6D-5M-GYPT（下弯头普通）</t>
    <phoneticPr fontId="9" type="noConversion"/>
  </si>
  <si>
    <t>弯头相机网线</t>
    <phoneticPr fontId="9" type="noConversion"/>
  </si>
  <si>
    <t>ME2C-2000-6GC(-P)</t>
    <phoneticPr fontId="9" type="noConversion"/>
  </si>
  <si>
    <t>大恒</t>
    <phoneticPr fontId="9" type="noConversion"/>
  </si>
  <si>
    <t>P-PHFL2-350110-W</t>
    <phoneticPr fontId="9" type="noConversion"/>
  </si>
  <si>
    <t>P-BL2-372-38-W</t>
    <phoneticPr fontId="9" type="noConversion"/>
  </si>
  <si>
    <t>D03022032</t>
    <phoneticPr fontId="9" type="noConversion"/>
  </si>
  <si>
    <t>光源延长线5M</t>
    <phoneticPr fontId="9" type="noConversion"/>
  </si>
  <si>
    <t>P-SM-L5</t>
    <phoneticPr fontId="9" type="noConversion"/>
  </si>
  <si>
    <t>D03011124</t>
    <phoneticPr fontId="9" type="noConversion"/>
  </si>
  <si>
    <t>PM-D-24W120-4T</t>
    <phoneticPr fontId="9" type="noConversion"/>
  </si>
  <si>
    <t>弯头相机电源线</t>
    <phoneticPr fontId="9" type="noConversion"/>
  </si>
  <si>
    <t>A09121280</t>
    <phoneticPr fontId="9" type="noConversion"/>
  </si>
  <si>
    <t>E2223HN</t>
    <phoneticPr fontId="9" type="noConversion"/>
  </si>
  <si>
    <t>戴尔</t>
    <phoneticPr fontId="9" type="noConversion"/>
  </si>
  <si>
    <t>HDMI视频线</t>
    <phoneticPr fontId="9" type="noConversion"/>
  </si>
  <si>
    <t>绿联1233224；HDMI视频线10米；工程级柔软耐弯折</t>
    <phoneticPr fontId="9" type="noConversion"/>
  </si>
  <si>
    <t>C12039441</t>
    <phoneticPr fontId="9" type="noConversion"/>
  </si>
  <si>
    <t>C12039323</t>
    <phoneticPr fontId="9" type="noConversion"/>
  </si>
  <si>
    <t>USB延长线 2.0公对母数据线 10米</t>
    <phoneticPr fontId="9" type="noConversion"/>
  </si>
  <si>
    <t>绿联10321(带信号放大器工程级 10米）</t>
    <phoneticPr fontId="9" type="noConversion"/>
  </si>
  <si>
    <t>USB拓展器</t>
    <phoneticPr fontId="9" type="noConversion"/>
  </si>
  <si>
    <t>绿联50985；USB3.0分线器0.15米；一拖四</t>
    <phoneticPr fontId="9" type="noConversion"/>
  </si>
  <si>
    <t>无线鼠标</t>
    <phoneticPr fontId="9" type="noConversion"/>
  </si>
  <si>
    <t>罗技</t>
    <phoneticPr fontId="9" type="noConversion"/>
  </si>
  <si>
    <t>A09121311</t>
  </si>
  <si>
    <t>触控键盘</t>
    <phoneticPr fontId="9" type="noConversion"/>
  </si>
  <si>
    <t>罗技无线键盘 带触摸板 K400 Plus；黑色</t>
    <phoneticPr fontId="9" type="noConversion"/>
  </si>
  <si>
    <t>M280无线鼠标</t>
    <phoneticPr fontId="9" type="noConversion"/>
  </si>
  <si>
    <t>凌臣</t>
    <phoneticPr fontId="9" type="noConversion"/>
  </si>
  <si>
    <t>4口网卡</t>
    <phoneticPr fontId="9" type="noConversion"/>
  </si>
  <si>
    <t>鼎能</t>
    <phoneticPr fontId="9" type="noConversion"/>
  </si>
  <si>
    <t>D05033059</t>
    <phoneticPr fontId="9" type="noConversion"/>
  </si>
  <si>
    <t>IO卡</t>
    <phoneticPr fontId="9" type="noConversion"/>
  </si>
  <si>
    <t>PCIE IO控制板卡48IO V1</t>
    <phoneticPr fontId="9" type="noConversion"/>
  </si>
  <si>
    <t>JRS</t>
    <phoneticPr fontId="9" type="noConversion"/>
  </si>
  <si>
    <t>D05033060</t>
    <phoneticPr fontId="9" type="noConversion"/>
  </si>
  <si>
    <t>IO卡端子板</t>
    <phoneticPr fontId="9" type="noConversion"/>
  </si>
  <si>
    <t>IO 板卡面板48IO V1</t>
    <phoneticPr fontId="9" type="noConversion"/>
  </si>
  <si>
    <t>D03088024</t>
    <phoneticPr fontId="9" type="noConversion"/>
  </si>
  <si>
    <t>D03088025</t>
    <phoneticPr fontId="9" type="noConversion"/>
  </si>
  <si>
    <t>D03022183</t>
    <phoneticPr fontId="9" type="noConversion"/>
  </si>
  <si>
    <t>D03011101</t>
    <phoneticPr fontId="9" type="noConversion"/>
  </si>
  <si>
    <t>控制器</t>
    <phoneticPr fontId="9" type="noConversion"/>
  </si>
  <si>
    <t>D01022370</t>
    <phoneticPr fontId="9" type="noConversion"/>
  </si>
  <si>
    <t>D01011447</t>
    <phoneticPr fontId="9" type="noConversion"/>
  </si>
  <si>
    <t>D03044095</t>
    <phoneticPr fontId="9" type="noConversion"/>
  </si>
  <si>
    <t>D03066146</t>
    <phoneticPr fontId="9" type="noConversion"/>
  </si>
  <si>
    <t xml:space="preserve"> 公共硬件</t>
    <phoneticPr fontId="9" type="noConversion"/>
  </si>
  <si>
    <t>A09121389</t>
    <phoneticPr fontId="9" type="noConversion"/>
  </si>
  <si>
    <t>D05011134</t>
    <phoneticPr fontId="9" type="noConversion"/>
  </si>
  <si>
    <t>USB无线网卡</t>
  </si>
  <si>
    <t>TL-XDN7000免驱</t>
  </si>
  <si>
    <t>TP-LINK</t>
  </si>
  <si>
    <t>告知供应商配一条1米HDMI线，或显示器带</t>
    <phoneticPr fontId="9" type="noConversion"/>
  </si>
  <si>
    <t>阴阳极缺陷</t>
    <phoneticPr fontId="9" type="noConversion"/>
  </si>
  <si>
    <t>阴阳极公共硬件</t>
    <phoneticPr fontId="9" type="noConversion"/>
  </si>
  <si>
    <t>蓝杰</t>
    <phoneticPr fontId="9" type="noConversion"/>
  </si>
  <si>
    <t>电话</t>
    <phoneticPr fontId="9" type="noConversion"/>
  </si>
  <si>
    <t>D01022373</t>
    <phoneticPr fontId="9" type="noConversion"/>
  </si>
  <si>
    <t>FY-GE-BF-5M-GYPT(直头-带锁弯头普通)</t>
    <phoneticPr fontId="9" type="noConversion"/>
  </si>
  <si>
    <t>D02033575</t>
    <phoneticPr fontId="9" type="noConversion"/>
  </si>
  <si>
    <t>FA1225A</t>
    <phoneticPr fontId="9" type="noConversion"/>
  </si>
  <si>
    <t>价格</t>
    <phoneticPr fontId="9" type="noConversion"/>
  </si>
  <si>
    <t>合计</t>
    <phoneticPr fontId="9" type="noConversion"/>
  </si>
  <si>
    <t>I9-12900K/32GDDR5*4/256GSSD(M.2)/1TBSSD/18T企业级垂直式硬盘/3080显卡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</si>
</sst>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indexed="8"/>
      <name val="等线"/>
      <charset val="1"/>
      <scheme val="minor"/>
    </font>
    <font>
      <sz val="14"/>
      <color indexed="8"/>
      <name val="宋体"/>
      <family val="3"/>
      <charset val="134"/>
    </font>
    <font>
      <sz val="11"/>
      <name val="等线"/>
      <family val="3"/>
      <charset val="134"/>
      <scheme val="minor"/>
    </font>
    <font>
      <sz val="9"/>
      <name val="SimSun"/>
      <charset val="134"/>
    </font>
    <font>
      <b/>
      <sz val="48"/>
      <name val="宋体"/>
      <family val="3"/>
      <charset val="134"/>
    </font>
    <font>
      <sz val="14"/>
      <name val="宋体"/>
      <family val="3"/>
      <charset val="134"/>
    </font>
    <font>
      <sz val="14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14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color rgb="FF000000"/>
      <name val="宋体"/>
      <family val="3"/>
      <charset val="134"/>
    </font>
    <font>
      <sz val="14"/>
      <color indexed="8"/>
      <name val="等线"/>
      <family val="3"/>
      <charset val="134"/>
      <scheme val="minor"/>
    </font>
    <font>
      <sz val="14"/>
      <color rgb="FF000000"/>
      <name val="宋体"/>
      <family val="3"/>
      <charset val="134"/>
    </font>
    <font>
      <sz val="14"/>
      <color rgb="FFFF0000"/>
      <name val="等线"/>
      <family val="3"/>
      <charset val="134"/>
      <scheme val="minor"/>
    </font>
    <font>
      <sz val="11"/>
      <color indexed="8"/>
      <name val="等线"/>
      <charset val="134"/>
      <scheme val="minor"/>
    </font>
    <font>
      <sz val="22"/>
      <color indexed="8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7" fillId="0" borderId="0"/>
    <xf numFmtId="0" fontId="7" fillId="0" borderId="0"/>
    <xf numFmtId="0" fontId="8" fillId="0" borderId="0"/>
    <xf numFmtId="0" fontId="7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6" fillId="2" borderId="3" xfId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0" fillId="2" borderId="1" xfId="0" applyFill="1" applyBorder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6" fillId="2" borderId="7" xfId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12" fillId="4" borderId="1" xfId="0" applyFont="1" applyFill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" fillId="4" borderId="0" xfId="0" applyFont="1" applyFill="1">
      <alignment vertical="center"/>
    </xf>
    <xf numFmtId="0" fontId="11" fillId="4" borderId="1" xfId="1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13" fillId="4" borderId="1" xfId="0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 textRotation="255" wrapText="1"/>
    </xf>
    <xf numFmtId="0" fontId="11" fillId="2" borderId="6" xfId="0" applyFont="1" applyFill="1" applyBorder="1" applyAlignment="1">
      <alignment horizontal="center" vertical="center" textRotation="255" wrapText="1"/>
    </xf>
    <xf numFmtId="0" fontId="11" fillId="2" borderId="4" xfId="0" applyFont="1" applyFill="1" applyBorder="1" applyAlignment="1">
      <alignment horizontal="center" vertical="center" textRotation="255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5">
    <cellStyle name="常规" xfId="0" builtinId="0"/>
    <cellStyle name="常规 11" xfId="4" xr:uid="{28426179-DAD1-41F9-A946-5256E775586D}"/>
    <cellStyle name="常规 2" xfId="1" xr:uid="{00000000-0005-0000-0000-000031000000}"/>
    <cellStyle name="常规 3" xfId="2" xr:uid="{00000000-0005-0000-0000-000032000000}"/>
    <cellStyle name="普通 3" xfId="3" xr:uid="{00000000-0005-0000-0000-00003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16329</xdr:colOff>
      <xdr:row>0</xdr:row>
      <xdr:rowOff>537713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12225" cy="537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310"/>
  <sheetViews>
    <sheetView tabSelected="1" topLeftCell="A13" zoomScale="70" zoomScaleNormal="70" workbookViewId="0">
      <selection activeCell="L28" sqref="L28"/>
    </sheetView>
  </sheetViews>
  <sheetFormatPr defaultColWidth="10" defaultRowHeight="14.25"/>
  <cols>
    <col min="1" max="1" width="6" customWidth="1"/>
    <col min="2" max="3" width="11.5" style="16" customWidth="1"/>
    <col min="4" max="4" width="13.5" customWidth="1"/>
    <col min="5" max="5" width="26.625" customWidth="1"/>
    <col min="6" max="6" width="59.25" customWidth="1"/>
    <col min="7" max="7" width="13.25" customWidth="1"/>
    <col min="8" max="8" width="5.75" customWidth="1"/>
    <col min="9" max="9" width="7" style="5" customWidth="1"/>
    <col min="10" max="10" width="6.375" customWidth="1"/>
    <col min="11" max="11" width="6.75" customWidth="1"/>
    <col min="12" max="12" width="7.625" customWidth="1"/>
    <col min="13" max="13" width="7.25" customWidth="1"/>
    <col min="14" max="14" width="7.25" style="4" hidden="1" customWidth="1"/>
    <col min="15" max="15" width="17.125" style="4" hidden="1" customWidth="1"/>
    <col min="16" max="17" width="17.125" style="4" customWidth="1"/>
    <col min="18" max="18" width="14.125" customWidth="1"/>
    <col min="19" max="19" width="37" style="6" customWidth="1"/>
    <col min="20" max="20" width="14.125" customWidth="1"/>
    <col min="21" max="21" width="12.875" customWidth="1"/>
    <col min="22" max="22" width="8" customWidth="1"/>
    <col min="23" max="23" width="16.875" customWidth="1"/>
    <col min="24" max="24" width="9.75" customWidth="1"/>
  </cols>
  <sheetData>
    <row r="1" spans="1:23" ht="48.95" customHeight="1">
      <c r="A1" s="51"/>
      <c r="B1" s="51"/>
      <c r="C1" s="51"/>
      <c r="D1" s="51"/>
      <c r="E1" s="51"/>
      <c r="F1" s="51"/>
      <c r="G1" s="51"/>
      <c r="H1" s="51"/>
      <c r="I1" s="52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3" s="1" customFormat="1" ht="60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10"/>
    </row>
    <row r="3" spans="1:23" s="1" customFormat="1" ht="30" customHeight="1">
      <c r="A3" s="54" t="s">
        <v>1</v>
      </c>
      <c r="B3" s="54"/>
      <c r="C3" s="15" t="s">
        <v>28</v>
      </c>
      <c r="D3" s="7" t="s">
        <v>2</v>
      </c>
      <c r="E3" s="7"/>
      <c r="F3" s="7" t="s">
        <v>29</v>
      </c>
      <c r="G3" s="7" t="s">
        <v>26</v>
      </c>
      <c r="H3" s="54" t="s">
        <v>30</v>
      </c>
      <c r="I3" s="54"/>
      <c r="J3" s="55" t="s">
        <v>31</v>
      </c>
      <c r="K3" s="56"/>
      <c r="L3" s="57"/>
      <c r="M3" s="7" t="s">
        <v>147</v>
      </c>
      <c r="N3" s="54">
        <v>18664952987</v>
      </c>
      <c r="O3" s="54"/>
      <c r="P3" s="7" t="s">
        <v>148</v>
      </c>
      <c r="Q3" s="7"/>
      <c r="R3" s="11" t="s">
        <v>50</v>
      </c>
      <c r="S3" s="12"/>
      <c r="T3" s="7"/>
      <c r="U3" s="7"/>
      <c r="V3" s="7"/>
      <c r="W3" s="7"/>
    </row>
    <row r="4" spans="1:23" s="1" customFormat="1" ht="64.5" customHeight="1">
      <c r="A4" s="7" t="s">
        <v>3</v>
      </c>
      <c r="B4" s="14" t="s">
        <v>4</v>
      </c>
      <c r="C4" s="17" t="s">
        <v>25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8" t="s">
        <v>15</v>
      </c>
      <c r="O4" s="8" t="s">
        <v>16</v>
      </c>
      <c r="P4" s="8" t="s">
        <v>153</v>
      </c>
      <c r="Q4" s="8" t="s">
        <v>154</v>
      </c>
      <c r="R4" s="7" t="s">
        <v>17</v>
      </c>
      <c r="S4" s="7" t="s">
        <v>18</v>
      </c>
      <c r="T4" s="7" t="s">
        <v>19</v>
      </c>
      <c r="U4" s="7" t="s">
        <v>20</v>
      </c>
      <c r="V4" s="7" t="s">
        <v>21</v>
      </c>
      <c r="W4" s="7" t="s">
        <v>22</v>
      </c>
    </row>
    <row r="5" spans="1:23" s="1" customFormat="1" ht="28.5">
      <c r="A5" s="19">
        <v>1</v>
      </c>
      <c r="B5" s="25" t="s">
        <v>51</v>
      </c>
      <c r="C5" s="49" t="s">
        <v>145</v>
      </c>
      <c r="D5" s="18" t="s">
        <v>53</v>
      </c>
      <c r="E5" s="9" t="s">
        <v>54</v>
      </c>
      <c r="F5" s="9" t="s">
        <v>55</v>
      </c>
      <c r="G5" s="9" t="s">
        <v>56</v>
      </c>
      <c r="H5" s="19" t="s">
        <v>23</v>
      </c>
      <c r="I5" s="19">
        <v>4</v>
      </c>
      <c r="J5" s="19">
        <v>1</v>
      </c>
      <c r="K5" s="20"/>
      <c r="L5" s="20"/>
      <c r="M5" s="19">
        <f>J5*I5</f>
        <v>4</v>
      </c>
      <c r="N5" s="21"/>
      <c r="O5" s="21"/>
      <c r="P5" s="21">
        <v>100</v>
      </c>
      <c r="Q5" s="21">
        <f>P5*M5</f>
        <v>400</v>
      </c>
      <c r="R5" s="19" t="s">
        <v>24</v>
      </c>
      <c r="S5" s="22"/>
      <c r="T5" s="20"/>
      <c r="U5" s="19"/>
      <c r="V5" s="13" t="s">
        <v>27</v>
      </c>
      <c r="W5" s="19"/>
    </row>
    <row r="6" spans="1:23" s="1" customFormat="1" ht="28.5">
      <c r="A6" s="19">
        <v>2</v>
      </c>
      <c r="B6" s="25" t="s">
        <v>51</v>
      </c>
      <c r="C6" s="50"/>
      <c r="D6" s="18" t="s">
        <v>57</v>
      </c>
      <c r="E6" s="9" t="s">
        <v>58</v>
      </c>
      <c r="F6" s="9" t="s">
        <v>59</v>
      </c>
      <c r="G6" s="9" t="s">
        <v>56</v>
      </c>
      <c r="H6" s="19" t="s">
        <v>23</v>
      </c>
      <c r="I6" s="19">
        <v>8</v>
      </c>
      <c r="J6" s="19">
        <v>1</v>
      </c>
      <c r="K6" s="20"/>
      <c r="L6" s="20"/>
      <c r="M6" s="19">
        <f t="shared" ref="M6:M20" si="0">J6*I6</f>
        <v>8</v>
      </c>
      <c r="N6" s="21"/>
      <c r="O6" s="21"/>
      <c r="P6" s="21">
        <v>410</v>
      </c>
      <c r="Q6" s="21">
        <f t="shared" ref="Q6:Q59" si="1">P6*M6</f>
        <v>3280</v>
      </c>
      <c r="R6" s="19" t="s">
        <v>24</v>
      </c>
      <c r="S6" s="22"/>
      <c r="T6" s="20"/>
      <c r="U6" s="19"/>
      <c r="V6" s="13" t="s">
        <v>27</v>
      </c>
      <c r="W6" s="19"/>
    </row>
    <row r="7" spans="1:23" s="1" customFormat="1" ht="28.5">
      <c r="A7" s="19">
        <v>3</v>
      </c>
      <c r="B7" s="25" t="s">
        <v>51</v>
      </c>
      <c r="C7" s="50"/>
      <c r="D7" s="27" t="s">
        <v>60</v>
      </c>
      <c r="E7" s="27" t="s">
        <v>61</v>
      </c>
      <c r="F7" s="9" t="s">
        <v>62</v>
      </c>
      <c r="G7" s="9" t="s">
        <v>63</v>
      </c>
      <c r="H7" s="19" t="s">
        <v>23</v>
      </c>
      <c r="I7" s="19">
        <v>4</v>
      </c>
      <c r="J7" s="19">
        <v>1</v>
      </c>
      <c r="K7" s="20"/>
      <c r="L7" s="20"/>
      <c r="M7" s="19">
        <f t="shared" si="0"/>
        <v>4</v>
      </c>
      <c r="N7" s="21"/>
      <c r="O7" s="21"/>
      <c r="P7" s="21">
        <v>320</v>
      </c>
      <c r="Q7" s="21">
        <f t="shared" si="1"/>
        <v>1280</v>
      </c>
      <c r="R7" s="19" t="s">
        <v>24</v>
      </c>
      <c r="S7" s="22"/>
      <c r="T7" s="20"/>
      <c r="U7" s="19"/>
      <c r="V7" s="13" t="s">
        <v>27</v>
      </c>
      <c r="W7" s="19"/>
    </row>
    <row r="8" spans="1:23" s="1" customFormat="1" ht="28.5">
      <c r="A8" s="19">
        <v>4</v>
      </c>
      <c r="B8" s="25" t="s">
        <v>51</v>
      </c>
      <c r="C8" s="50"/>
      <c r="D8" s="27" t="s">
        <v>64</v>
      </c>
      <c r="E8" s="7" t="s">
        <v>33</v>
      </c>
      <c r="F8" s="9" t="s">
        <v>65</v>
      </c>
      <c r="G8" s="9" t="s">
        <v>56</v>
      </c>
      <c r="H8" s="19" t="s">
        <v>23</v>
      </c>
      <c r="I8" s="19">
        <v>4</v>
      </c>
      <c r="J8" s="19">
        <v>1</v>
      </c>
      <c r="K8" s="20"/>
      <c r="L8" s="20"/>
      <c r="M8" s="19">
        <f t="shared" si="0"/>
        <v>4</v>
      </c>
      <c r="N8" s="21"/>
      <c r="O8" s="21"/>
      <c r="P8" s="21">
        <v>5500</v>
      </c>
      <c r="Q8" s="21">
        <f t="shared" si="1"/>
        <v>22000</v>
      </c>
      <c r="R8" s="19" t="s">
        <v>24</v>
      </c>
      <c r="S8" s="22"/>
      <c r="T8" s="20"/>
      <c r="U8" s="19"/>
      <c r="V8" s="13" t="s">
        <v>27</v>
      </c>
      <c r="W8" s="19"/>
    </row>
    <row r="9" spans="1:23" s="1" customFormat="1" ht="28.5">
      <c r="A9" s="19">
        <v>5</v>
      </c>
      <c r="B9" s="25" t="s">
        <v>51</v>
      </c>
      <c r="C9" s="50"/>
      <c r="D9" s="18" t="s">
        <v>66</v>
      </c>
      <c r="E9" s="9" t="s">
        <v>67</v>
      </c>
      <c r="F9" s="9" t="s">
        <v>68</v>
      </c>
      <c r="G9" s="9" t="s">
        <v>56</v>
      </c>
      <c r="H9" s="19" t="s">
        <v>23</v>
      </c>
      <c r="I9" s="19">
        <v>4</v>
      </c>
      <c r="J9" s="19">
        <v>1</v>
      </c>
      <c r="K9" s="20"/>
      <c r="L9" s="20"/>
      <c r="M9" s="19">
        <f t="shared" si="0"/>
        <v>4</v>
      </c>
      <c r="N9" s="21"/>
      <c r="O9" s="21"/>
      <c r="P9" s="21">
        <v>3500</v>
      </c>
      <c r="Q9" s="21">
        <f t="shared" si="1"/>
        <v>14000</v>
      </c>
      <c r="R9" s="19" t="s">
        <v>24</v>
      </c>
      <c r="S9" s="22"/>
      <c r="T9" s="20"/>
      <c r="U9" s="19"/>
      <c r="V9" s="13" t="s">
        <v>27</v>
      </c>
      <c r="W9" s="19"/>
    </row>
    <row r="10" spans="1:23" s="1" customFormat="1" ht="28.5">
      <c r="A10" s="19">
        <v>6</v>
      </c>
      <c r="B10" s="25" t="s">
        <v>51</v>
      </c>
      <c r="C10" s="50"/>
      <c r="D10" s="18" t="s">
        <v>69</v>
      </c>
      <c r="E10" s="9" t="s">
        <v>70</v>
      </c>
      <c r="F10" s="9" t="s">
        <v>71</v>
      </c>
      <c r="G10" s="9" t="s">
        <v>72</v>
      </c>
      <c r="H10" s="19" t="s">
        <v>23</v>
      </c>
      <c r="I10" s="19">
        <v>8</v>
      </c>
      <c r="J10" s="19">
        <v>1</v>
      </c>
      <c r="K10" s="20"/>
      <c r="L10" s="20"/>
      <c r="M10" s="19">
        <f t="shared" si="0"/>
        <v>8</v>
      </c>
      <c r="N10" s="21"/>
      <c r="O10" s="21"/>
      <c r="P10" s="21">
        <v>980</v>
      </c>
      <c r="Q10" s="21">
        <f t="shared" si="1"/>
        <v>7840</v>
      </c>
      <c r="R10" s="19" t="s">
        <v>24</v>
      </c>
      <c r="S10" s="22"/>
      <c r="T10" s="20"/>
      <c r="U10" s="19"/>
      <c r="V10" s="13" t="s">
        <v>27</v>
      </c>
      <c r="W10" s="19"/>
    </row>
    <row r="11" spans="1:23" s="1" customFormat="1" ht="28.5">
      <c r="A11" s="19">
        <v>7</v>
      </c>
      <c r="B11" s="25" t="s">
        <v>51</v>
      </c>
      <c r="C11" s="50"/>
      <c r="D11" s="18" t="s">
        <v>73</v>
      </c>
      <c r="E11" s="9" t="s">
        <v>74</v>
      </c>
      <c r="F11" s="9" t="s">
        <v>75</v>
      </c>
      <c r="G11" s="9" t="s">
        <v>72</v>
      </c>
      <c r="H11" s="19" t="s">
        <v>23</v>
      </c>
      <c r="I11" s="19">
        <v>4</v>
      </c>
      <c r="J11" s="19">
        <v>1</v>
      </c>
      <c r="K11" s="20"/>
      <c r="L11" s="20"/>
      <c r="M11" s="19">
        <f t="shared" si="0"/>
        <v>4</v>
      </c>
      <c r="N11" s="21"/>
      <c r="O11" s="21"/>
      <c r="P11" s="21">
        <v>10</v>
      </c>
      <c r="Q11" s="21">
        <f t="shared" si="1"/>
        <v>40</v>
      </c>
      <c r="R11" s="19" t="s">
        <v>24</v>
      </c>
      <c r="S11" s="22"/>
      <c r="T11" s="20"/>
      <c r="U11" s="19"/>
      <c r="V11" s="13" t="s">
        <v>27</v>
      </c>
      <c r="W11" s="19"/>
    </row>
    <row r="12" spans="1:23" s="1" customFormat="1" ht="28.5">
      <c r="A12" s="19">
        <v>8</v>
      </c>
      <c r="B12" s="25" t="s">
        <v>51</v>
      </c>
      <c r="C12" s="50"/>
      <c r="D12" s="18" t="s">
        <v>76</v>
      </c>
      <c r="E12" s="9" t="s">
        <v>77</v>
      </c>
      <c r="F12" s="9" t="s">
        <v>78</v>
      </c>
      <c r="G12" s="9" t="s">
        <v>79</v>
      </c>
      <c r="H12" s="19" t="s">
        <v>23</v>
      </c>
      <c r="I12" s="19">
        <v>4</v>
      </c>
      <c r="J12" s="19">
        <v>1</v>
      </c>
      <c r="K12" s="20"/>
      <c r="L12" s="20"/>
      <c r="M12" s="19">
        <f t="shared" si="0"/>
        <v>4</v>
      </c>
      <c r="N12" s="21"/>
      <c r="O12" s="21"/>
      <c r="P12" s="21">
        <v>10</v>
      </c>
      <c r="Q12" s="21">
        <f t="shared" si="1"/>
        <v>40</v>
      </c>
      <c r="R12" s="19" t="s">
        <v>24</v>
      </c>
      <c r="S12" s="22"/>
      <c r="T12" s="20"/>
      <c r="U12" s="19"/>
      <c r="V12" s="13" t="s">
        <v>27</v>
      </c>
      <c r="W12" s="19"/>
    </row>
    <row r="13" spans="1:23" s="1" customFormat="1" ht="28.5">
      <c r="A13" s="19">
        <v>9</v>
      </c>
      <c r="B13" s="25" t="s">
        <v>51</v>
      </c>
      <c r="C13" s="50"/>
      <c r="D13" s="18" t="s">
        <v>80</v>
      </c>
      <c r="E13" s="9" t="s">
        <v>34</v>
      </c>
      <c r="F13" s="9" t="s">
        <v>81</v>
      </c>
      <c r="G13" s="9" t="s">
        <v>72</v>
      </c>
      <c r="H13" s="19" t="s">
        <v>23</v>
      </c>
      <c r="I13" s="19">
        <v>4</v>
      </c>
      <c r="J13" s="19">
        <v>1</v>
      </c>
      <c r="K13" s="20"/>
      <c r="L13" s="20"/>
      <c r="M13" s="19">
        <f t="shared" si="0"/>
        <v>4</v>
      </c>
      <c r="N13" s="21"/>
      <c r="O13" s="21"/>
      <c r="P13" s="21">
        <v>10</v>
      </c>
      <c r="Q13" s="21">
        <f t="shared" si="1"/>
        <v>40</v>
      </c>
      <c r="R13" s="19" t="s">
        <v>24</v>
      </c>
      <c r="S13" s="22"/>
      <c r="T13" s="20"/>
      <c r="U13" s="19"/>
      <c r="V13" s="13" t="s">
        <v>27</v>
      </c>
      <c r="W13" s="19"/>
    </row>
    <row r="14" spans="1:23" s="42" customFormat="1" ht="28.5">
      <c r="A14" s="36">
        <v>10</v>
      </c>
      <c r="B14" s="37" t="s">
        <v>51</v>
      </c>
      <c r="C14" s="50"/>
      <c r="D14" s="38" t="s">
        <v>129</v>
      </c>
      <c r="E14" s="39" t="s">
        <v>84</v>
      </c>
      <c r="F14" s="39" t="s">
        <v>82</v>
      </c>
      <c r="G14" s="39" t="s">
        <v>85</v>
      </c>
      <c r="H14" s="36" t="s">
        <v>23</v>
      </c>
      <c r="I14" s="36">
        <v>4</v>
      </c>
      <c r="J14" s="36">
        <v>1</v>
      </c>
      <c r="K14" s="40"/>
      <c r="L14" s="40"/>
      <c r="M14" s="36">
        <f t="shared" si="0"/>
        <v>4</v>
      </c>
      <c r="N14" s="41"/>
      <c r="O14" s="41"/>
      <c r="P14" s="21">
        <v>900</v>
      </c>
      <c r="Q14" s="21">
        <f t="shared" si="1"/>
        <v>3600</v>
      </c>
      <c r="R14" s="19" t="s">
        <v>24</v>
      </c>
      <c r="S14" s="22"/>
      <c r="T14" s="20"/>
      <c r="U14" s="19"/>
      <c r="V14" s="13" t="s">
        <v>27</v>
      </c>
      <c r="W14" s="36"/>
    </row>
    <row r="15" spans="1:23" s="42" customFormat="1" ht="28.5">
      <c r="A15" s="36">
        <v>11</v>
      </c>
      <c r="B15" s="37" t="s">
        <v>51</v>
      </c>
      <c r="C15" s="50"/>
      <c r="D15" s="38" t="s">
        <v>131</v>
      </c>
      <c r="E15" s="39" t="s">
        <v>36</v>
      </c>
      <c r="F15" s="39" t="s">
        <v>86</v>
      </c>
      <c r="G15" s="39" t="s">
        <v>85</v>
      </c>
      <c r="H15" s="43" t="s">
        <v>49</v>
      </c>
      <c r="I15" s="36">
        <v>4</v>
      </c>
      <c r="J15" s="36">
        <v>1</v>
      </c>
      <c r="K15" s="40"/>
      <c r="L15" s="40"/>
      <c r="M15" s="36">
        <f t="shared" si="0"/>
        <v>4</v>
      </c>
      <c r="N15" s="41"/>
      <c r="O15" s="41"/>
      <c r="P15" s="21">
        <v>10</v>
      </c>
      <c r="Q15" s="21">
        <f t="shared" si="1"/>
        <v>40</v>
      </c>
      <c r="R15" s="19" t="s">
        <v>24</v>
      </c>
      <c r="S15" s="22"/>
      <c r="T15" s="20"/>
      <c r="U15" s="19"/>
      <c r="V15" s="13" t="s">
        <v>27</v>
      </c>
      <c r="W15" s="36"/>
    </row>
    <row r="16" spans="1:23" s="42" customFormat="1" ht="28.5">
      <c r="A16" s="36">
        <v>12</v>
      </c>
      <c r="B16" s="37" t="s">
        <v>51</v>
      </c>
      <c r="C16" s="50"/>
      <c r="D16" s="38" t="s">
        <v>132</v>
      </c>
      <c r="E16" s="39" t="s">
        <v>133</v>
      </c>
      <c r="F16" s="39" t="s">
        <v>87</v>
      </c>
      <c r="G16" s="39" t="s">
        <v>85</v>
      </c>
      <c r="H16" s="36" t="s">
        <v>23</v>
      </c>
      <c r="I16" s="36">
        <v>2</v>
      </c>
      <c r="J16" s="36">
        <v>1</v>
      </c>
      <c r="K16" s="40"/>
      <c r="L16" s="40"/>
      <c r="M16" s="36">
        <f t="shared" si="0"/>
        <v>2</v>
      </c>
      <c r="N16" s="41"/>
      <c r="O16" s="41"/>
      <c r="P16" s="21">
        <v>1400</v>
      </c>
      <c r="Q16" s="21">
        <f t="shared" si="1"/>
        <v>2800</v>
      </c>
      <c r="R16" s="19" t="s">
        <v>24</v>
      </c>
      <c r="S16" s="22"/>
      <c r="T16" s="20"/>
      <c r="U16" s="19"/>
      <c r="V16" s="13" t="s">
        <v>27</v>
      </c>
      <c r="W16" s="36"/>
    </row>
    <row r="17" spans="1:191" s="1" customFormat="1" ht="28.5">
      <c r="A17" s="19">
        <v>13</v>
      </c>
      <c r="B17" s="25" t="s">
        <v>51</v>
      </c>
      <c r="C17" s="48" t="s">
        <v>146</v>
      </c>
      <c r="D17" s="18" t="s">
        <v>102</v>
      </c>
      <c r="E17" s="9" t="s">
        <v>42</v>
      </c>
      <c r="F17" s="9" t="s">
        <v>103</v>
      </c>
      <c r="G17" s="9" t="s">
        <v>104</v>
      </c>
      <c r="H17" s="24" t="s">
        <v>23</v>
      </c>
      <c r="I17" s="28">
        <v>2</v>
      </c>
      <c r="J17" s="19">
        <v>1</v>
      </c>
      <c r="K17" s="20"/>
      <c r="L17" s="20"/>
      <c r="M17" s="19">
        <f t="shared" si="0"/>
        <v>2</v>
      </c>
      <c r="N17" s="21"/>
      <c r="O17" s="21"/>
      <c r="P17" s="21">
        <v>800</v>
      </c>
      <c r="Q17" s="21">
        <f t="shared" si="1"/>
        <v>1600</v>
      </c>
      <c r="R17" s="19" t="s">
        <v>24</v>
      </c>
      <c r="S17" s="22"/>
      <c r="T17" s="20"/>
      <c r="U17" s="19"/>
      <c r="V17" s="13" t="s">
        <v>27</v>
      </c>
      <c r="W17" s="19"/>
    </row>
    <row r="18" spans="1:191" s="1" customFormat="1" ht="28.5">
      <c r="A18" s="19">
        <v>14</v>
      </c>
      <c r="B18" s="25" t="s">
        <v>51</v>
      </c>
      <c r="C18" s="48"/>
      <c r="D18" s="18" t="s">
        <v>44</v>
      </c>
      <c r="E18" s="9" t="s">
        <v>45</v>
      </c>
      <c r="F18" s="9" t="s">
        <v>46</v>
      </c>
      <c r="G18" s="9" t="s">
        <v>43</v>
      </c>
      <c r="H18" s="24" t="s">
        <v>23</v>
      </c>
      <c r="I18" s="28">
        <v>2</v>
      </c>
      <c r="J18" s="19">
        <v>1</v>
      </c>
      <c r="K18" s="20"/>
      <c r="L18" s="20"/>
      <c r="M18" s="19">
        <f t="shared" si="0"/>
        <v>2</v>
      </c>
      <c r="N18" s="21"/>
      <c r="O18" s="21"/>
      <c r="P18" s="21">
        <v>120</v>
      </c>
      <c r="Q18" s="21">
        <f t="shared" si="1"/>
        <v>240</v>
      </c>
      <c r="R18" s="19" t="s">
        <v>24</v>
      </c>
      <c r="S18" s="22"/>
      <c r="T18" s="20"/>
      <c r="U18" s="19"/>
      <c r="V18" s="13" t="s">
        <v>27</v>
      </c>
      <c r="W18" s="19"/>
    </row>
    <row r="19" spans="1:191" s="1" customFormat="1" ht="28.5">
      <c r="A19" s="19">
        <v>15</v>
      </c>
      <c r="B19" s="25" t="s">
        <v>51</v>
      </c>
      <c r="C19" s="48"/>
      <c r="D19" s="18" t="s">
        <v>107</v>
      </c>
      <c r="E19" s="9" t="s">
        <v>105</v>
      </c>
      <c r="F19" s="9" t="s">
        <v>106</v>
      </c>
      <c r="G19" s="9" t="s">
        <v>41</v>
      </c>
      <c r="H19" s="23" t="s">
        <v>23</v>
      </c>
      <c r="I19" s="28">
        <v>2</v>
      </c>
      <c r="J19" s="19">
        <v>1</v>
      </c>
      <c r="K19" s="20"/>
      <c r="L19" s="20"/>
      <c r="M19" s="19">
        <f t="shared" si="0"/>
        <v>2</v>
      </c>
      <c r="N19" s="21"/>
      <c r="O19" s="21"/>
      <c r="P19" s="21">
        <v>120</v>
      </c>
      <c r="Q19" s="21">
        <f t="shared" si="1"/>
        <v>240</v>
      </c>
      <c r="R19" s="19" t="s">
        <v>24</v>
      </c>
      <c r="S19" s="22"/>
      <c r="T19" s="20"/>
      <c r="U19" s="19"/>
      <c r="V19" s="13" t="s">
        <v>27</v>
      </c>
      <c r="W19" s="19"/>
    </row>
    <row r="20" spans="1:191" s="1" customFormat="1" ht="37.5">
      <c r="A20" s="19">
        <v>16</v>
      </c>
      <c r="B20" s="25" t="s">
        <v>51</v>
      </c>
      <c r="C20" s="48"/>
      <c r="D20" s="18" t="s">
        <v>108</v>
      </c>
      <c r="E20" s="9" t="s">
        <v>109</v>
      </c>
      <c r="F20" s="9" t="s">
        <v>110</v>
      </c>
      <c r="G20" s="9" t="s">
        <v>41</v>
      </c>
      <c r="H20" s="23" t="s">
        <v>23</v>
      </c>
      <c r="I20" s="28">
        <v>2</v>
      </c>
      <c r="J20" s="19">
        <v>1</v>
      </c>
      <c r="K20" s="20"/>
      <c r="L20" s="20"/>
      <c r="M20" s="19">
        <f t="shared" si="0"/>
        <v>2</v>
      </c>
      <c r="N20" s="21"/>
      <c r="O20" s="21"/>
      <c r="P20" s="21">
        <v>135</v>
      </c>
      <c r="Q20" s="21">
        <f t="shared" si="1"/>
        <v>270</v>
      </c>
      <c r="R20" s="19" t="s">
        <v>24</v>
      </c>
      <c r="S20" s="22"/>
      <c r="T20" s="20"/>
      <c r="U20" s="19"/>
      <c r="V20" s="13" t="s">
        <v>27</v>
      </c>
      <c r="W20" s="19"/>
    </row>
    <row r="21" spans="1:191" s="1" customFormat="1" ht="28.5">
      <c r="A21" s="19">
        <v>17</v>
      </c>
      <c r="B21" s="25" t="s">
        <v>51</v>
      </c>
      <c r="C21" s="48"/>
      <c r="D21" s="18" t="s">
        <v>139</v>
      </c>
      <c r="E21" s="9" t="s">
        <v>113</v>
      </c>
      <c r="F21" s="9" t="s">
        <v>118</v>
      </c>
      <c r="G21" s="27" t="s">
        <v>114</v>
      </c>
      <c r="H21" s="23" t="s">
        <v>23</v>
      </c>
      <c r="I21" s="28">
        <v>2</v>
      </c>
      <c r="J21" s="19">
        <v>1</v>
      </c>
      <c r="K21" s="20"/>
      <c r="L21" s="20"/>
      <c r="M21" s="19"/>
      <c r="N21" s="21"/>
      <c r="O21" s="21"/>
      <c r="P21" s="21">
        <v>75</v>
      </c>
      <c r="Q21" s="21">
        <f t="shared" si="1"/>
        <v>0</v>
      </c>
      <c r="R21" s="19" t="s">
        <v>24</v>
      </c>
      <c r="S21" s="22"/>
      <c r="T21" s="20"/>
      <c r="U21" s="19"/>
      <c r="V21" s="13" t="s">
        <v>27</v>
      </c>
      <c r="W21" s="19"/>
    </row>
    <row r="22" spans="1:191" s="1" customFormat="1" ht="28.5">
      <c r="A22" s="19">
        <v>18</v>
      </c>
      <c r="B22" s="25" t="s">
        <v>51</v>
      </c>
      <c r="C22" s="48"/>
      <c r="D22" s="27" t="s">
        <v>115</v>
      </c>
      <c r="E22" s="9" t="s">
        <v>116</v>
      </c>
      <c r="F22" s="9" t="s">
        <v>117</v>
      </c>
      <c r="G22" s="9" t="s">
        <v>114</v>
      </c>
      <c r="H22" s="23" t="s">
        <v>23</v>
      </c>
      <c r="I22" s="28">
        <v>2</v>
      </c>
      <c r="J22" s="19">
        <v>1</v>
      </c>
      <c r="K22" s="20"/>
      <c r="L22" s="20"/>
      <c r="M22" s="19">
        <f t="shared" ref="M22:M25" si="2">J22*I22</f>
        <v>2</v>
      </c>
      <c r="N22" s="21"/>
      <c r="O22" s="21"/>
      <c r="P22" s="21">
        <v>150</v>
      </c>
      <c r="Q22" s="21">
        <f t="shared" si="1"/>
        <v>300</v>
      </c>
      <c r="R22" s="19" t="s">
        <v>24</v>
      </c>
      <c r="S22" s="22"/>
      <c r="T22" s="20"/>
      <c r="U22" s="19"/>
      <c r="V22" s="13" t="s">
        <v>27</v>
      </c>
      <c r="W22" s="19"/>
    </row>
    <row r="23" spans="1:191" s="1" customFormat="1" ht="37.5">
      <c r="A23" s="19">
        <v>19</v>
      </c>
      <c r="B23" s="25" t="s">
        <v>51</v>
      </c>
      <c r="C23" s="48"/>
      <c r="D23" s="35"/>
      <c r="E23" s="9" t="s">
        <v>40</v>
      </c>
      <c r="F23" s="9" t="s">
        <v>155</v>
      </c>
      <c r="G23" s="9" t="s">
        <v>119</v>
      </c>
      <c r="H23" s="23" t="s">
        <v>23</v>
      </c>
      <c r="I23" s="28">
        <v>1</v>
      </c>
      <c r="J23" s="19">
        <v>1</v>
      </c>
      <c r="K23" s="20"/>
      <c r="L23" s="20"/>
      <c r="M23" s="19">
        <f t="shared" si="2"/>
        <v>1</v>
      </c>
      <c r="N23" s="21"/>
      <c r="O23" s="21"/>
      <c r="P23" s="21">
        <v>20000</v>
      </c>
      <c r="Q23" s="21">
        <f t="shared" si="1"/>
        <v>20000</v>
      </c>
      <c r="R23" s="19" t="s">
        <v>24</v>
      </c>
      <c r="S23" s="22"/>
      <c r="T23" s="20"/>
      <c r="U23" s="19"/>
      <c r="V23" s="13" t="s">
        <v>27</v>
      </c>
      <c r="W23" s="19"/>
    </row>
    <row r="24" spans="1:191" s="1" customFormat="1" ht="28.5">
      <c r="A24" s="19">
        <v>20</v>
      </c>
      <c r="B24" s="25" t="s">
        <v>51</v>
      </c>
      <c r="C24" s="48"/>
      <c r="D24" s="27" t="s">
        <v>122</v>
      </c>
      <c r="E24" s="7" t="s">
        <v>123</v>
      </c>
      <c r="F24" s="9" t="s">
        <v>124</v>
      </c>
      <c r="G24" s="9" t="s">
        <v>125</v>
      </c>
      <c r="H24" s="19" t="s">
        <v>23</v>
      </c>
      <c r="I24" s="19">
        <v>2</v>
      </c>
      <c r="J24" s="19">
        <v>1</v>
      </c>
      <c r="K24" s="20"/>
      <c r="L24" s="20"/>
      <c r="M24" s="19">
        <f t="shared" si="2"/>
        <v>2</v>
      </c>
      <c r="N24" s="21"/>
      <c r="O24" s="21"/>
      <c r="P24" s="21">
        <v>800</v>
      </c>
      <c r="Q24" s="21">
        <f t="shared" si="1"/>
        <v>1600</v>
      </c>
      <c r="R24" s="19" t="s">
        <v>24</v>
      </c>
      <c r="S24" s="22"/>
      <c r="T24" s="20"/>
      <c r="U24" s="19"/>
      <c r="V24" s="13" t="s">
        <v>27</v>
      </c>
      <c r="W24" s="19"/>
    </row>
    <row r="25" spans="1:191" s="1" customFormat="1" ht="28.5">
      <c r="A25" s="19">
        <v>21</v>
      </c>
      <c r="B25" s="25" t="s">
        <v>51</v>
      </c>
      <c r="C25" s="48"/>
      <c r="D25" s="27" t="s">
        <v>126</v>
      </c>
      <c r="E25" s="7" t="s">
        <v>127</v>
      </c>
      <c r="F25" s="9" t="s">
        <v>128</v>
      </c>
      <c r="G25" s="9" t="s">
        <v>125</v>
      </c>
      <c r="H25" s="19" t="s">
        <v>23</v>
      </c>
      <c r="I25" s="19">
        <v>2</v>
      </c>
      <c r="J25" s="19">
        <v>1</v>
      </c>
      <c r="K25" s="20"/>
      <c r="L25" s="20"/>
      <c r="M25" s="19">
        <f t="shared" si="2"/>
        <v>2</v>
      </c>
      <c r="N25" s="21"/>
      <c r="O25" s="21"/>
      <c r="P25" s="21">
        <v>800</v>
      </c>
      <c r="Q25" s="21">
        <f t="shared" si="1"/>
        <v>1600</v>
      </c>
      <c r="R25" s="19" t="s">
        <v>24</v>
      </c>
      <c r="S25" s="22"/>
      <c r="T25" s="20"/>
      <c r="U25" s="19"/>
      <c r="V25" s="13" t="s">
        <v>27</v>
      </c>
      <c r="W25" s="19"/>
    </row>
    <row r="26" spans="1:191" s="1" customFormat="1" ht="28.5">
      <c r="A26" s="19">
        <v>22</v>
      </c>
      <c r="B26" s="25" t="s">
        <v>51</v>
      </c>
      <c r="C26" s="48"/>
      <c r="D26" s="35" t="s">
        <v>47</v>
      </c>
      <c r="E26" s="9" t="s">
        <v>111</v>
      </c>
      <c r="F26" s="9" t="s">
        <v>112</v>
      </c>
      <c r="G26" s="9" t="s">
        <v>41</v>
      </c>
      <c r="H26" s="29" t="s">
        <v>23</v>
      </c>
      <c r="I26" s="32">
        <v>2</v>
      </c>
      <c r="J26" s="19">
        <v>1</v>
      </c>
      <c r="K26" s="31"/>
      <c r="L26" s="31"/>
      <c r="M26" s="29">
        <f t="shared" ref="M26" si="3">I26*1</f>
        <v>2</v>
      </c>
      <c r="N26" s="29"/>
      <c r="O26" s="29"/>
      <c r="P26" s="21">
        <v>35</v>
      </c>
      <c r="Q26" s="21">
        <f t="shared" si="1"/>
        <v>70</v>
      </c>
      <c r="R26" s="29" t="s">
        <v>24</v>
      </c>
      <c r="S26" s="33" t="s">
        <v>144</v>
      </c>
      <c r="T26" s="34"/>
      <c r="U26" s="34"/>
      <c r="V26" s="13" t="s">
        <v>27</v>
      </c>
      <c r="W26" s="19"/>
    </row>
    <row r="27" spans="1:191" s="3" customFormat="1" ht="39" customHeight="1">
      <c r="A27" s="19">
        <v>23</v>
      </c>
      <c r="B27" s="25" t="s">
        <v>51</v>
      </c>
      <c r="C27" s="49" t="s">
        <v>52</v>
      </c>
      <c r="D27" s="18" t="s">
        <v>53</v>
      </c>
      <c r="E27" s="9" t="s">
        <v>54</v>
      </c>
      <c r="F27" s="9" t="s">
        <v>55</v>
      </c>
      <c r="G27" s="9" t="s">
        <v>56</v>
      </c>
      <c r="H27" s="19" t="s">
        <v>23</v>
      </c>
      <c r="I27" s="19">
        <v>2</v>
      </c>
      <c r="J27" s="19">
        <v>1</v>
      </c>
      <c r="K27" s="20"/>
      <c r="L27" s="20"/>
      <c r="M27" s="19">
        <f>J27*I27</f>
        <v>2</v>
      </c>
      <c r="N27" s="21"/>
      <c r="O27" s="21"/>
      <c r="P27" s="21">
        <v>100</v>
      </c>
      <c r="Q27" s="21">
        <f t="shared" si="1"/>
        <v>200</v>
      </c>
      <c r="R27" s="19" t="s">
        <v>24</v>
      </c>
      <c r="S27" s="22"/>
      <c r="T27" s="20"/>
      <c r="U27" s="19"/>
      <c r="V27" s="13" t="s">
        <v>27</v>
      </c>
      <c r="W27" s="19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</row>
    <row r="28" spans="1:191" ht="28.5">
      <c r="A28" s="19">
        <v>24</v>
      </c>
      <c r="B28" s="25" t="s">
        <v>51</v>
      </c>
      <c r="C28" s="50"/>
      <c r="D28" s="18" t="s">
        <v>57</v>
      </c>
      <c r="E28" s="9" t="s">
        <v>58</v>
      </c>
      <c r="F28" s="9" t="s">
        <v>59</v>
      </c>
      <c r="G28" s="9" t="s">
        <v>56</v>
      </c>
      <c r="H28" s="19" t="s">
        <v>23</v>
      </c>
      <c r="I28" s="19">
        <v>4</v>
      </c>
      <c r="J28" s="19">
        <v>1</v>
      </c>
      <c r="K28" s="20"/>
      <c r="L28" s="20"/>
      <c r="M28" s="19">
        <f t="shared" ref="M28:M59" si="4">J28*I28</f>
        <v>4</v>
      </c>
      <c r="N28" s="21"/>
      <c r="O28" s="21"/>
      <c r="P28" s="21">
        <v>410</v>
      </c>
      <c r="Q28" s="21">
        <f t="shared" si="1"/>
        <v>1640</v>
      </c>
      <c r="R28" s="19" t="s">
        <v>24</v>
      </c>
      <c r="S28" s="22"/>
      <c r="T28" s="20"/>
      <c r="U28" s="19"/>
      <c r="V28" s="13" t="s">
        <v>27</v>
      </c>
      <c r="W28" s="19"/>
    </row>
    <row r="29" spans="1:191" ht="28.5">
      <c r="A29" s="19">
        <v>25</v>
      </c>
      <c r="B29" s="25" t="s">
        <v>51</v>
      </c>
      <c r="C29" s="50"/>
      <c r="D29" s="27" t="s">
        <v>60</v>
      </c>
      <c r="E29" s="27" t="s">
        <v>61</v>
      </c>
      <c r="F29" s="9" t="s">
        <v>62</v>
      </c>
      <c r="G29" s="9" t="s">
        <v>63</v>
      </c>
      <c r="H29" s="19" t="s">
        <v>23</v>
      </c>
      <c r="I29" s="19">
        <v>2</v>
      </c>
      <c r="J29" s="19">
        <v>1</v>
      </c>
      <c r="K29" s="20"/>
      <c r="L29" s="20"/>
      <c r="M29" s="19">
        <f t="shared" si="4"/>
        <v>2</v>
      </c>
      <c r="N29" s="21"/>
      <c r="O29" s="21"/>
      <c r="P29" s="21">
        <v>320</v>
      </c>
      <c r="Q29" s="21">
        <f t="shared" si="1"/>
        <v>640</v>
      </c>
      <c r="R29" s="19" t="s">
        <v>24</v>
      </c>
      <c r="S29" s="22"/>
      <c r="T29" s="20"/>
      <c r="U29" s="19"/>
      <c r="V29" s="13" t="s">
        <v>27</v>
      </c>
      <c r="W29" s="19"/>
    </row>
    <row r="30" spans="1:191" ht="28.5">
      <c r="A30" s="19">
        <v>26</v>
      </c>
      <c r="B30" s="25" t="s">
        <v>51</v>
      </c>
      <c r="C30" s="50"/>
      <c r="D30" s="27" t="s">
        <v>64</v>
      </c>
      <c r="E30" s="7" t="s">
        <v>33</v>
      </c>
      <c r="F30" s="9" t="s">
        <v>65</v>
      </c>
      <c r="G30" s="9" t="s">
        <v>56</v>
      </c>
      <c r="H30" s="19" t="s">
        <v>23</v>
      </c>
      <c r="I30" s="19">
        <v>2</v>
      </c>
      <c r="J30" s="19">
        <v>1</v>
      </c>
      <c r="K30" s="20"/>
      <c r="L30" s="20"/>
      <c r="M30" s="19">
        <f t="shared" si="4"/>
        <v>2</v>
      </c>
      <c r="N30" s="21"/>
      <c r="O30" s="21"/>
      <c r="P30" s="21">
        <v>5500</v>
      </c>
      <c r="Q30" s="21">
        <f t="shared" si="1"/>
        <v>11000</v>
      </c>
      <c r="R30" s="19" t="s">
        <v>24</v>
      </c>
      <c r="S30" s="22"/>
      <c r="T30" s="20"/>
      <c r="U30" s="19"/>
      <c r="V30" s="13" t="s">
        <v>27</v>
      </c>
      <c r="W30" s="19"/>
    </row>
    <row r="31" spans="1:191" s="3" customFormat="1" ht="28.5">
      <c r="A31" s="19">
        <v>27</v>
      </c>
      <c r="B31" s="25" t="s">
        <v>51</v>
      </c>
      <c r="C31" s="50"/>
      <c r="D31" s="18" t="s">
        <v>66</v>
      </c>
      <c r="E31" s="9" t="s">
        <v>67</v>
      </c>
      <c r="F31" s="9" t="s">
        <v>68</v>
      </c>
      <c r="G31" s="9" t="s">
        <v>56</v>
      </c>
      <c r="H31" s="19" t="s">
        <v>23</v>
      </c>
      <c r="I31" s="19">
        <v>2</v>
      </c>
      <c r="J31" s="19">
        <v>1</v>
      </c>
      <c r="K31" s="20"/>
      <c r="L31" s="20"/>
      <c r="M31" s="19">
        <f t="shared" si="4"/>
        <v>2</v>
      </c>
      <c r="N31" s="21"/>
      <c r="O31" s="21"/>
      <c r="P31" s="21">
        <v>3500</v>
      </c>
      <c r="Q31" s="21">
        <f t="shared" si="1"/>
        <v>7000</v>
      </c>
      <c r="R31" s="19" t="s">
        <v>24</v>
      </c>
      <c r="S31" s="22"/>
      <c r="T31" s="20"/>
      <c r="U31" s="19"/>
      <c r="V31" s="13" t="s">
        <v>27</v>
      </c>
      <c r="W31" s="19"/>
    </row>
    <row r="32" spans="1:191" s="3" customFormat="1" ht="28.5">
      <c r="A32" s="19">
        <v>28</v>
      </c>
      <c r="B32" s="25" t="s">
        <v>51</v>
      </c>
      <c r="C32" s="50"/>
      <c r="D32" s="18" t="s">
        <v>69</v>
      </c>
      <c r="E32" s="9" t="s">
        <v>70</v>
      </c>
      <c r="F32" s="9" t="s">
        <v>71</v>
      </c>
      <c r="G32" s="9" t="s">
        <v>72</v>
      </c>
      <c r="H32" s="19" t="s">
        <v>23</v>
      </c>
      <c r="I32" s="19">
        <v>4</v>
      </c>
      <c r="J32" s="19">
        <v>1</v>
      </c>
      <c r="K32" s="20"/>
      <c r="L32" s="20"/>
      <c r="M32" s="19">
        <f t="shared" si="4"/>
        <v>4</v>
      </c>
      <c r="N32" s="21"/>
      <c r="O32" s="21"/>
      <c r="P32" s="21">
        <v>10</v>
      </c>
      <c r="Q32" s="21">
        <f t="shared" si="1"/>
        <v>40</v>
      </c>
      <c r="R32" s="19" t="s">
        <v>24</v>
      </c>
      <c r="S32" s="22"/>
      <c r="T32" s="20"/>
      <c r="U32" s="19"/>
      <c r="V32" s="13" t="s">
        <v>27</v>
      </c>
      <c r="W32" s="19"/>
    </row>
    <row r="33" spans="1:23" s="3" customFormat="1" ht="28.5">
      <c r="A33" s="19">
        <v>29</v>
      </c>
      <c r="B33" s="25" t="s">
        <v>51</v>
      </c>
      <c r="C33" s="50"/>
      <c r="D33" s="18" t="s">
        <v>73</v>
      </c>
      <c r="E33" s="9" t="s">
        <v>74</v>
      </c>
      <c r="F33" s="9" t="s">
        <v>75</v>
      </c>
      <c r="G33" s="9" t="s">
        <v>72</v>
      </c>
      <c r="H33" s="19" t="s">
        <v>23</v>
      </c>
      <c r="I33" s="19">
        <v>2</v>
      </c>
      <c r="J33" s="19">
        <v>1</v>
      </c>
      <c r="K33" s="20"/>
      <c r="L33" s="20"/>
      <c r="M33" s="19">
        <f t="shared" si="4"/>
        <v>2</v>
      </c>
      <c r="N33" s="21"/>
      <c r="O33" s="21"/>
      <c r="P33" s="21">
        <v>10</v>
      </c>
      <c r="Q33" s="21">
        <f t="shared" si="1"/>
        <v>20</v>
      </c>
      <c r="R33" s="19" t="s">
        <v>24</v>
      </c>
      <c r="S33" s="22"/>
      <c r="T33" s="20"/>
      <c r="U33" s="19"/>
      <c r="V33" s="13" t="s">
        <v>27</v>
      </c>
      <c r="W33" s="19"/>
    </row>
    <row r="34" spans="1:23" s="3" customFormat="1" ht="28.5">
      <c r="A34" s="19">
        <v>30</v>
      </c>
      <c r="B34" s="25" t="s">
        <v>51</v>
      </c>
      <c r="C34" s="50"/>
      <c r="D34" s="18" t="s">
        <v>76</v>
      </c>
      <c r="E34" s="9" t="s">
        <v>77</v>
      </c>
      <c r="F34" s="9" t="s">
        <v>78</v>
      </c>
      <c r="G34" s="9" t="s">
        <v>79</v>
      </c>
      <c r="H34" s="19" t="s">
        <v>23</v>
      </c>
      <c r="I34" s="19">
        <v>2</v>
      </c>
      <c r="J34" s="19">
        <v>1</v>
      </c>
      <c r="K34" s="20"/>
      <c r="L34" s="20"/>
      <c r="M34" s="19">
        <f t="shared" si="4"/>
        <v>2</v>
      </c>
      <c r="N34" s="21"/>
      <c r="O34" s="21"/>
      <c r="P34" s="21">
        <v>10</v>
      </c>
      <c r="Q34" s="21">
        <f t="shared" si="1"/>
        <v>20</v>
      </c>
      <c r="R34" s="19" t="s">
        <v>24</v>
      </c>
      <c r="S34" s="22"/>
      <c r="T34" s="20"/>
      <c r="U34" s="19"/>
      <c r="V34" s="13" t="s">
        <v>27</v>
      </c>
      <c r="W34" s="19"/>
    </row>
    <row r="35" spans="1:23" s="3" customFormat="1" ht="28.5">
      <c r="A35" s="19">
        <v>31</v>
      </c>
      <c r="B35" s="25" t="s">
        <v>51</v>
      </c>
      <c r="C35" s="50"/>
      <c r="D35" s="18" t="s">
        <v>80</v>
      </c>
      <c r="E35" s="9" t="s">
        <v>34</v>
      </c>
      <c r="F35" s="9" t="s">
        <v>81</v>
      </c>
      <c r="G35" s="9" t="s">
        <v>72</v>
      </c>
      <c r="H35" s="19" t="s">
        <v>23</v>
      </c>
      <c r="I35" s="19">
        <v>2</v>
      </c>
      <c r="J35" s="19">
        <v>1</v>
      </c>
      <c r="K35" s="20"/>
      <c r="L35" s="20"/>
      <c r="M35" s="19">
        <f t="shared" si="4"/>
        <v>2</v>
      </c>
      <c r="N35" s="21"/>
      <c r="O35" s="21"/>
      <c r="P35" s="21">
        <v>980</v>
      </c>
      <c r="Q35" s="21">
        <f t="shared" si="1"/>
        <v>1960</v>
      </c>
      <c r="R35" s="19" t="s">
        <v>24</v>
      </c>
      <c r="S35" s="22"/>
      <c r="T35" s="20"/>
      <c r="U35" s="19"/>
      <c r="V35" s="13" t="s">
        <v>27</v>
      </c>
      <c r="W35" s="19"/>
    </row>
    <row r="36" spans="1:23" s="44" customFormat="1" ht="28.5">
      <c r="A36" s="36">
        <v>32</v>
      </c>
      <c r="B36" s="37" t="s">
        <v>51</v>
      </c>
      <c r="C36" s="50"/>
      <c r="D36" s="38" t="s">
        <v>129</v>
      </c>
      <c r="E36" s="39" t="s">
        <v>84</v>
      </c>
      <c r="F36" s="39" t="s">
        <v>82</v>
      </c>
      <c r="G36" s="39" t="s">
        <v>85</v>
      </c>
      <c r="H36" s="36" t="s">
        <v>23</v>
      </c>
      <c r="I36" s="36">
        <v>1</v>
      </c>
      <c r="J36" s="36">
        <v>1</v>
      </c>
      <c r="K36" s="40"/>
      <c r="L36" s="40"/>
      <c r="M36" s="36">
        <f t="shared" si="4"/>
        <v>1</v>
      </c>
      <c r="N36" s="41"/>
      <c r="O36" s="41"/>
      <c r="P36" s="21">
        <v>900</v>
      </c>
      <c r="Q36" s="21">
        <f t="shared" si="1"/>
        <v>900</v>
      </c>
      <c r="R36" s="19" t="s">
        <v>24</v>
      </c>
      <c r="S36" s="22"/>
      <c r="T36" s="20"/>
      <c r="U36" s="19"/>
      <c r="V36" s="13" t="s">
        <v>27</v>
      </c>
      <c r="W36" s="36"/>
    </row>
    <row r="37" spans="1:23" s="44" customFormat="1" ht="28.5">
      <c r="A37" s="36">
        <v>33</v>
      </c>
      <c r="B37" s="37" t="s">
        <v>51</v>
      </c>
      <c r="C37" s="50"/>
      <c r="D37" s="38" t="s">
        <v>130</v>
      </c>
      <c r="E37" s="39" t="s">
        <v>84</v>
      </c>
      <c r="F37" s="39" t="s">
        <v>83</v>
      </c>
      <c r="G37" s="39" t="s">
        <v>85</v>
      </c>
      <c r="H37" s="36" t="s">
        <v>23</v>
      </c>
      <c r="I37" s="36">
        <v>1</v>
      </c>
      <c r="J37" s="36">
        <v>1</v>
      </c>
      <c r="K37" s="40"/>
      <c r="L37" s="40"/>
      <c r="M37" s="36">
        <f t="shared" si="4"/>
        <v>1</v>
      </c>
      <c r="N37" s="41"/>
      <c r="O37" s="41"/>
      <c r="P37" s="21">
        <v>900</v>
      </c>
      <c r="Q37" s="21">
        <f t="shared" si="1"/>
        <v>900</v>
      </c>
      <c r="R37" s="19" t="s">
        <v>24</v>
      </c>
      <c r="S37" s="22"/>
      <c r="T37" s="20"/>
      <c r="U37" s="19"/>
      <c r="V37" s="13" t="s">
        <v>27</v>
      </c>
      <c r="W37" s="36"/>
    </row>
    <row r="38" spans="1:23" s="44" customFormat="1" ht="22.5" customHeight="1">
      <c r="A38" s="36">
        <v>34</v>
      </c>
      <c r="B38" s="37" t="s">
        <v>51</v>
      </c>
      <c r="C38" s="50"/>
      <c r="D38" s="38" t="s">
        <v>131</v>
      </c>
      <c r="E38" s="39" t="s">
        <v>36</v>
      </c>
      <c r="F38" s="39" t="s">
        <v>86</v>
      </c>
      <c r="G38" s="39" t="s">
        <v>85</v>
      </c>
      <c r="H38" s="43" t="s">
        <v>49</v>
      </c>
      <c r="I38" s="36">
        <v>2</v>
      </c>
      <c r="J38" s="36">
        <v>1</v>
      </c>
      <c r="K38" s="40"/>
      <c r="L38" s="40"/>
      <c r="M38" s="36">
        <f t="shared" si="4"/>
        <v>2</v>
      </c>
      <c r="N38" s="41"/>
      <c r="O38" s="41"/>
      <c r="P38" s="21">
        <v>10</v>
      </c>
      <c r="Q38" s="21">
        <f t="shared" si="1"/>
        <v>20</v>
      </c>
      <c r="R38" s="19" t="s">
        <v>24</v>
      </c>
      <c r="S38" s="22"/>
      <c r="T38" s="20"/>
      <c r="U38" s="19"/>
      <c r="V38" s="13" t="s">
        <v>27</v>
      </c>
      <c r="W38" s="36"/>
    </row>
    <row r="39" spans="1:23" s="44" customFormat="1" ht="22.5" customHeight="1">
      <c r="A39" s="36">
        <v>35</v>
      </c>
      <c r="B39" s="37" t="s">
        <v>51</v>
      </c>
      <c r="C39" s="50"/>
      <c r="D39" s="38" t="s">
        <v>132</v>
      </c>
      <c r="E39" s="39" t="s">
        <v>133</v>
      </c>
      <c r="F39" s="39" t="s">
        <v>87</v>
      </c>
      <c r="G39" s="39" t="s">
        <v>85</v>
      </c>
      <c r="H39" s="36" t="s">
        <v>23</v>
      </c>
      <c r="I39" s="36">
        <v>1</v>
      </c>
      <c r="J39" s="36">
        <v>1</v>
      </c>
      <c r="K39" s="40"/>
      <c r="L39" s="40"/>
      <c r="M39" s="36">
        <f t="shared" si="4"/>
        <v>1</v>
      </c>
      <c r="N39" s="41"/>
      <c r="O39" s="41"/>
      <c r="P39" s="21">
        <v>1400</v>
      </c>
      <c r="Q39" s="21">
        <f t="shared" si="1"/>
        <v>1400</v>
      </c>
      <c r="R39" s="19" t="s">
        <v>24</v>
      </c>
      <c r="S39" s="22"/>
      <c r="T39" s="20"/>
      <c r="U39" s="19"/>
      <c r="V39" s="13" t="s">
        <v>27</v>
      </c>
      <c r="W39" s="36"/>
    </row>
    <row r="40" spans="1:23" ht="28.5">
      <c r="A40" s="19">
        <v>36</v>
      </c>
      <c r="B40" s="25" t="s">
        <v>51</v>
      </c>
      <c r="C40" s="49" t="s">
        <v>89</v>
      </c>
      <c r="D40" s="18" t="s">
        <v>134</v>
      </c>
      <c r="E40" s="9" t="s">
        <v>101</v>
      </c>
      <c r="F40" s="9" t="s">
        <v>90</v>
      </c>
      <c r="G40" s="9" t="s">
        <v>32</v>
      </c>
      <c r="H40" s="19" t="s">
        <v>23</v>
      </c>
      <c r="I40" s="19">
        <v>2</v>
      </c>
      <c r="J40" s="19">
        <v>1</v>
      </c>
      <c r="K40" s="20"/>
      <c r="L40" s="20"/>
      <c r="M40" s="19">
        <f t="shared" si="4"/>
        <v>2</v>
      </c>
      <c r="N40" s="21"/>
      <c r="O40" s="21"/>
      <c r="P40" s="21">
        <v>80</v>
      </c>
      <c r="Q40" s="21">
        <f t="shared" si="1"/>
        <v>160</v>
      </c>
      <c r="R40" s="19" t="s">
        <v>24</v>
      </c>
      <c r="S40" s="22"/>
      <c r="T40" s="20"/>
      <c r="U40" s="19"/>
      <c r="V40" s="13" t="s">
        <v>27</v>
      </c>
      <c r="W40" s="19"/>
    </row>
    <row r="41" spans="1:23" s="3" customFormat="1" ht="28.5">
      <c r="A41" s="19">
        <v>37</v>
      </c>
      <c r="B41" s="25" t="s">
        <v>51</v>
      </c>
      <c r="C41" s="50"/>
      <c r="D41" s="18" t="s">
        <v>149</v>
      </c>
      <c r="E41" s="9" t="s">
        <v>91</v>
      </c>
      <c r="F41" s="9" t="s">
        <v>150</v>
      </c>
      <c r="G41" s="9" t="s">
        <v>32</v>
      </c>
      <c r="H41" s="19" t="s">
        <v>23</v>
      </c>
      <c r="I41" s="19">
        <v>2</v>
      </c>
      <c r="J41" s="19">
        <v>1</v>
      </c>
      <c r="K41" s="20"/>
      <c r="L41" s="20"/>
      <c r="M41" s="19">
        <f t="shared" si="4"/>
        <v>2</v>
      </c>
      <c r="N41" s="21"/>
      <c r="O41" s="21"/>
      <c r="P41" s="21">
        <v>80</v>
      </c>
      <c r="Q41" s="21">
        <f t="shared" si="1"/>
        <v>160</v>
      </c>
      <c r="R41" s="19" t="s">
        <v>24</v>
      </c>
      <c r="S41" s="22"/>
      <c r="T41" s="20"/>
      <c r="U41" s="19"/>
      <c r="V41" s="13" t="s">
        <v>27</v>
      </c>
      <c r="W41" s="19"/>
    </row>
    <row r="42" spans="1:23" ht="28.5">
      <c r="A42" s="19">
        <v>38</v>
      </c>
      <c r="B42" s="25" t="s">
        <v>51</v>
      </c>
      <c r="C42" s="50"/>
      <c r="D42" s="18" t="s">
        <v>135</v>
      </c>
      <c r="E42" s="9" t="s">
        <v>33</v>
      </c>
      <c r="F42" s="9" t="s">
        <v>92</v>
      </c>
      <c r="G42" s="9" t="s">
        <v>93</v>
      </c>
      <c r="H42" s="23" t="s">
        <v>23</v>
      </c>
      <c r="I42" s="23">
        <v>2</v>
      </c>
      <c r="J42" s="19">
        <v>1</v>
      </c>
      <c r="K42" s="20"/>
      <c r="L42" s="20"/>
      <c r="M42" s="19">
        <f t="shared" si="4"/>
        <v>2</v>
      </c>
      <c r="N42" s="21"/>
      <c r="O42" s="21"/>
      <c r="P42" s="21">
        <v>2000</v>
      </c>
      <c r="Q42" s="21">
        <f t="shared" si="1"/>
        <v>4000</v>
      </c>
      <c r="R42" s="19" t="s">
        <v>24</v>
      </c>
      <c r="S42" s="22"/>
      <c r="T42" s="20"/>
      <c r="U42" s="19"/>
      <c r="V42" s="13" t="s">
        <v>27</v>
      </c>
      <c r="W42" s="23"/>
    </row>
    <row r="43" spans="1:23" ht="28.5">
      <c r="A43" s="19">
        <v>39</v>
      </c>
      <c r="B43" s="25" t="s">
        <v>51</v>
      </c>
      <c r="C43" s="50"/>
      <c r="D43" s="18" t="s">
        <v>151</v>
      </c>
      <c r="E43" s="9" t="s">
        <v>34</v>
      </c>
      <c r="F43" s="9" t="s">
        <v>152</v>
      </c>
      <c r="G43" s="9" t="s">
        <v>35</v>
      </c>
      <c r="H43" s="23" t="s">
        <v>23</v>
      </c>
      <c r="I43" s="23">
        <v>2</v>
      </c>
      <c r="J43" s="19">
        <v>1</v>
      </c>
      <c r="K43" s="20"/>
      <c r="L43" s="20"/>
      <c r="M43" s="19">
        <f t="shared" si="4"/>
        <v>2</v>
      </c>
      <c r="N43" s="21"/>
      <c r="O43" s="21"/>
      <c r="P43" s="21">
        <v>500</v>
      </c>
      <c r="Q43" s="21">
        <f t="shared" si="1"/>
        <v>1000</v>
      </c>
      <c r="R43" s="19" t="s">
        <v>24</v>
      </c>
      <c r="S43" s="22"/>
      <c r="T43" s="20"/>
      <c r="U43" s="19"/>
      <c r="V43" s="13" t="s">
        <v>27</v>
      </c>
      <c r="W43" s="23"/>
    </row>
    <row r="44" spans="1:23" s="44" customFormat="1" ht="28.5">
      <c r="A44" s="36">
        <v>40</v>
      </c>
      <c r="B44" s="37" t="s">
        <v>51</v>
      </c>
      <c r="C44" s="50"/>
      <c r="D44" s="38" t="s">
        <v>136</v>
      </c>
      <c r="E44" s="39" t="s">
        <v>37</v>
      </c>
      <c r="F44" s="39" t="s">
        <v>94</v>
      </c>
      <c r="G44" s="39" t="s">
        <v>85</v>
      </c>
      <c r="H44" s="45" t="s">
        <v>23</v>
      </c>
      <c r="I44" s="36">
        <v>1</v>
      </c>
      <c r="J44" s="36">
        <v>1</v>
      </c>
      <c r="K44" s="40"/>
      <c r="L44" s="40"/>
      <c r="M44" s="36">
        <f t="shared" ref="M44:M47" si="5">J44*I44</f>
        <v>1</v>
      </c>
      <c r="N44" s="41"/>
      <c r="O44" s="41"/>
      <c r="P44" s="21">
        <v>700</v>
      </c>
      <c r="Q44" s="21">
        <f t="shared" si="1"/>
        <v>700</v>
      </c>
      <c r="R44" s="19" t="s">
        <v>24</v>
      </c>
      <c r="S44" s="22"/>
      <c r="T44" s="20"/>
      <c r="U44" s="19"/>
      <c r="V44" s="13" t="s">
        <v>27</v>
      </c>
      <c r="W44" s="45"/>
    </row>
    <row r="45" spans="1:23" s="44" customFormat="1" ht="28.5">
      <c r="A45" s="36">
        <v>41</v>
      </c>
      <c r="B45" s="37" t="s">
        <v>51</v>
      </c>
      <c r="C45" s="50"/>
      <c r="D45" s="38" t="s">
        <v>137</v>
      </c>
      <c r="E45" s="39" t="s">
        <v>48</v>
      </c>
      <c r="F45" s="39" t="s">
        <v>95</v>
      </c>
      <c r="G45" s="39" t="s">
        <v>85</v>
      </c>
      <c r="H45" s="45" t="s">
        <v>23</v>
      </c>
      <c r="I45" s="36">
        <v>1</v>
      </c>
      <c r="J45" s="36">
        <v>1</v>
      </c>
      <c r="K45" s="40"/>
      <c r="L45" s="40"/>
      <c r="M45" s="36">
        <f t="shared" si="5"/>
        <v>1</v>
      </c>
      <c r="N45" s="41"/>
      <c r="O45" s="41"/>
      <c r="P45" s="21">
        <v>300</v>
      </c>
      <c r="Q45" s="21">
        <f t="shared" si="1"/>
        <v>300</v>
      </c>
      <c r="R45" s="19" t="s">
        <v>24</v>
      </c>
      <c r="S45" s="22"/>
      <c r="T45" s="20"/>
      <c r="U45" s="19"/>
      <c r="V45" s="13" t="s">
        <v>27</v>
      </c>
      <c r="W45" s="45"/>
    </row>
    <row r="46" spans="1:23" s="44" customFormat="1" ht="28.5">
      <c r="A46" s="36">
        <v>42</v>
      </c>
      <c r="B46" s="37" t="s">
        <v>51</v>
      </c>
      <c r="C46" s="50"/>
      <c r="D46" s="38" t="s">
        <v>96</v>
      </c>
      <c r="E46" s="39" t="s">
        <v>97</v>
      </c>
      <c r="F46" s="39" t="s">
        <v>98</v>
      </c>
      <c r="G46" s="39" t="s">
        <v>85</v>
      </c>
      <c r="H46" s="45" t="s">
        <v>23</v>
      </c>
      <c r="I46" s="45">
        <v>2</v>
      </c>
      <c r="J46" s="36">
        <v>1</v>
      </c>
      <c r="K46" s="40"/>
      <c r="L46" s="40"/>
      <c r="M46" s="36">
        <f t="shared" si="5"/>
        <v>2</v>
      </c>
      <c r="N46" s="41"/>
      <c r="O46" s="41"/>
      <c r="P46" s="21">
        <v>10</v>
      </c>
      <c r="Q46" s="21">
        <f t="shared" si="1"/>
        <v>20</v>
      </c>
      <c r="R46" s="19" t="s">
        <v>24</v>
      </c>
      <c r="S46" s="22"/>
      <c r="T46" s="20"/>
      <c r="U46" s="19"/>
      <c r="V46" s="13" t="s">
        <v>27</v>
      </c>
      <c r="W46" s="45"/>
    </row>
    <row r="47" spans="1:23" s="44" customFormat="1" ht="28.5">
      <c r="A47" s="36">
        <v>43</v>
      </c>
      <c r="B47" s="37" t="s">
        <v>51</v>
      </c>
      <c r="C47" s="50"/>
      <c r="D47" s="38" t="s">
        <v>99</v>
      </c>
      <c r="E47" s="39" t="s">
        <v>88</v>
      </c>
      <c r="F47" s="39" t="s">
        <v>100</v>
      </c>
      <c r="G47" s="39" t="s">
        <v>85</v>
      </c>
      <c r="H47" s="45" t="s">
        <v>23</v>
      </c>
      <c r="I47" s="45">
        <v>1</v>
      </c>
      <c r="J47" s="36">
        <v>1</v>
      </c>
      <c r="K47" s="40"/>
      <c r="L47" s="40"/>
      <c r="M47" s="36">
        <f t="shared" si="5"/>
        <v>1</v>
      </c>
      <c r="N47" s="41"/>
      <c r="O47" s="41"/>
      <c r="P47" s="21">
        <v>1200</v>
      </c>
      <c r="Q47" s="21">
        <f t="shared" si="1"/>
        <v>1200</v>
      </c>
      <c r="R47" s="19" t="s">
        <v>24</v>
      </c>
      <c r="S47" s="22"/>
      <c r="T47" s="20"/>
      <c r="U47" s="19"/>
      <c r="V47" s="13" t="s">
        <v>27</v>
      </c>
      <c r="W47" s="45"/>
    </row>
    <row r="48" spans="1:23" ht="28.5" customHeight="1">
      <c r="A48" s="19">
        <v>44</v>
      </c>
      <c r="B48" s="25" t="s">
        <v>51</v>
      </c>
      <c r="C48" s="48" t="s">
        <v>138</v>
      </c>
      <c r="D48" s="35" t="s">
        <v>102</v>
      </c>
      <c r="E48" s="9" t="s">
        <v>42</v>
      </c>
      <c r="F48" s="9" t="s">
        <v>103</v>
      </c>
      <c r="G48" s="9" t="s">
        <v>104</v>
      </c>
      <c r="H48" s="24" t="s">
        <v>23</v>
      </c>
      <c r="I48" s="28">
        <v>1</v>
      </c>
      <c r="J48" s="19">
        <v>1</v>
      </c>
      <c r="K48" s="20"/>
      <c r="L48" s="20"/>
      <c r="M48" s="19">
        <f t="shared" si="4"/>
        <v>1</v>
      </c>
      <c r="N48" s="21"/>
      <c r="O48" s="21"/>
      <c r="P48" s="21">
        <v>800</v>
      </c>
      <c r="Q48" s="21">
        <f t="shared" si="1"/>
        <v>800</v>
      </c>
      <c r="R48" s="19" t="s">
        <v>24</v>
      </c>
      <c r="S48" s="22"/>
      <c r="T48" s="20"/>
      <c r="U48" s="19"/>
      <c r="V48" s="13" t="s">
        <v>27</v>
      </c>
      <c r="W48" s="19"/>
    </row>
    <row r="49" spans="1:23" ht="28.5">
      <c r="A49" s="19">
        <v>45</v>
      </c>
      <c r="B49" s="25" t="s">
        <v>51</v>
      </c>
      <c r="C49" s="48"/>
      <c r="D49" s="35" t="s">
        <v>44</v>
      </c>
      <c r="E49" s="9" t="s">
        <v>45</v>
      </c>
      <c r="F49" s="9" t="s">
        <v>46</v>
      </c>
      <c r="G49" s="9" t="s">
        <v>43</v>
      </c>
      <c r="H49" s="24" t="s">
        <v>23</v>
      </c>
      <c r="I49" s="28">
        <v>1</v>
      </c>
      <c r="J49" s="19">
        <v>1</v>
      </c>
      <c r="K49" s="20"/>
      <c r="L49" s="20"/>
      <c r="M49" s="19">
        <f t="shared" si="4"/>
        <v>1</v>
      </c>
      <c r="N49" s="21"/>
      <c r="O49" s="21"/>
      <c r="P49" s="21">
        <v>120</v>
      </c>
      <c r="Q49" s="21">
        <f t="shared" si="1"/>
        <v>120</v>
      </c>
      <c r="R49" s="19" t="s">
        <v>24</v>
      </c>
      <c r="S49" s="22"/>
      <c r="T49" s="20"/>
      <c r="U49" s="19"/>
      <c r="V49" s="13" t="s">
        <v>27</v>
      </c>
      <c r="W49" s="19"/>
    </row>
    <row r="50" spans="1:23" ht="28.5">
      <c r="A50" s="19">
        <v>46</v>
      </c>
      <c r="B50" s="25" t="s">
        <v>51</v>
      </c>
      <c r="C50" s="48"/>
      <c r="D50" s="35" t="s">
        <v>107</v>
      </c>
      <c r="E50" s="9" t="s">
        <v>105</v>
      </c>
      <c r="F50" s="9" t="s">
        <v>106</v>
      </c>
      <c r="G50" s="9" t="s">
        <v>41</v>
      </c>
      <c r="H50" s="23" t="s">
        <v>23</v>
      </c>
      <c r="I50" s="28">
        <v>1</v>
      </c>
      <c r="J50" s="19">
        <v>1</v>
      </c>
      <c r="K50" s="20"/>
      <c r="L50" s="20"/>
      <c r="M50" s="19">
        <f t="shared" si="4"/>
        <v>1</v>
      </c>
      <c r="N50" s="21"/>
      <c r="O50" s="21"/>
      <c r="P50" s="21">
        <v>120</v>
      </c>
      <c r="Q50" s="21">
        <f t="shared" si="1"/>
        <v>120</v>
      </c>
      <c r="R50" s="19" t="s">
        <v>24</v>
      </c>
      <c r="S50" s="22"/>
      <c r="T50" s="20"/>
      <c r="U50" s="19"/>
      <c r="V50" s="13" t="s">
        <v>27</v>
      </c>
      <c r="W50" s="19"/>
    </row>
    <row r="51" spans="1:23" ht="37.5">
      <c r="A51" s="19">
        <v>47</v>
      </c>
      <c r="B51" s="25" t="s">
        <v>51</v>
      </c>
      <c r="C51" s="48"/>
      <c r="D51" s="35" t="s">
        <v>108</v>
      </c>
      <c r="E51" s="9" t="s">
        <v>109</v>
      </c>
      <c r="F51" s="9" t="s">
        <v>110</v>
      </c>
      <c r="G51" s="9" t="s">
        <v>41</v>
      </c>
      <c r="H51" s="23" t="s">
        <v>23</v>
      </c>
      <c r="I51" s="28">
        <v>1</v>
      </c>
      <c r="J51" s="19">
        <v>1</v>
      </c>
      <c r="K51" s="20"/>
      <c r="L51" s="20"/>
      <c r="M51" s="19">
        <f t="shared" ref="M51" si="6">J51*I51</f>
        <v>1</v>
      </c>
      <c r="N51" s="21"/>
      <c r="O51" s="21"/>
      <c r="P51" s="21">
        <v>135</v>
      </c>
      <c r="Q51" s="21">
        <f t="shared" si="1"/>
        <v>135</v>
      </c>
      <c r="R51" s="19" t="s">
        <v>24</v>
      </c>
      <c r="S51" s="22"/>
      <c r="T51" s="20"/>
      <c r="U51" s="19"/>
      <c r="V51" s="13" t="s">
        <v>27</v>
      </c>
      <c r="W51" s="19"/>
    </row>
    <row r="52" spans="1:23" ht="28.5">
      <c r="A52" s="19">
        <v>48</v>
      </c>
      <c r="B52" s="25" t="s">
        <v>51</v>
      </c>
      <c r="C52" s="48"/>
      <c r="D52" s="35" t="s">
        <v>47</v>
      </c>
      <c r="E52" s="9" t="s">
        <v>111</v>
      </c>
      <c r="F52" s="9" t="s">
        <v>112</v>
      </c>
      <c r="G52" s="9" t="s">
        <v>41</v>
      </c>
      <c r="H52" s="23" t="s">
        <v>23</v>
      </c>
      <c r="I52" s="28">
        <v>1</v>
      </c>
      <c r="J52" s="19">
        <v>1</v>
      </c>
      <c r="K52" s="20"/>
      <c r="L52" s="20"/>
      <c r="M52" s="19">
        <f t="shared" si="4"/>
        <v>1</v>
      </c>
      <c r="N52" s="21"/>
      <c r="O52" s="21"/>
      <c r="P52" s="21">
        <v>35</v>
      </c>
      <c r="Q52" s="21">
        <f t="shared" si="1"/>
        <v>35</v>
      </c>
      <c r="R52" s="19" t="s">
        <v>24</v>
      </c>
      <c r="S52" s="22"/>
      <c r="T52" s="20"/>
      <c r="U52" s="19"/>
      <c r="V52" s="13" t="s">
        <v>27</v>
      </c>
      <c r="W52" s="19"/>
    </row>
    <row r="53" spans="1:23" ht="28.5">
      <c r="A53" s="19">
        <v>49</v>
      </c>
      <c r="B53" s="25" t="s">
        <v>51</v>
      </c>
      <c r="C53" s="48"/>
      <c r="D53" s="35" t="s">
        <v>139</v>
      </c>
      <c r="E53" s="9" t="s">
        <v>113</v>
      </c>
      <c r="F53" s="9" t="s">
        <v>118</v>
      </c>
      <c r="G53" s="27" t="s">
        <v>114</v>
      </c>
      <c r="H53" s="23"/>
      <c r="I53" s="28">
        <v>1</v>
      </c>
      <c r="J53" s="19">
        <v>1</v>
      </c>
      <c r="K53" s="20"/>
      <c r="L53" s="20"/>
      <c r="M53" s="19"/>
      <c r="N53" s="21"/>
      <c r="O53" s="21"/>
      <c r="P53" s="21">
        <v>75</v>
      </c>
      <c r="Q53" s="21">
        <f t="shared" si="1"/>
        <v>0</v>
      </c>
      <c r="R53" s="19" t="s">
        <v>24</v>
      </c>
      <c r="S53" s="22"/>
      <c r="T53" s="20"/>
      <c r="U53" s="19"/>
      <c r="V53" s="13" t="s">
        <v>27</v>
      </c>
      <c r="W53" s="19"/>
    </row>
    <row r="54" spans="1:23" ht="28.5">
      <c r="A54" s="19">
        <v>50</v>
      </c>
      <c r="B54" s="25" t="s">
        <v>51</v>
      </c>
      <c r="C54" s="48"/>
      <c r="D54" s="27" t="s">
        <v>115</v>
      </c>
      <c r="E54" s="9" t="s">
        <v>116</v>
      </c>
      <c r="F54" s="9" t="s">
        <v>117</v>
      </c>
      <c r="G54" s="9" t="s">
        <v>114</v>
      </c>
      <c r="H54" s="23" t="s">
        <v>23</v>
      </c>
      <c r="I54" s="28">
        <v>1</v>
      </c>
      <c r="J54" s="19">
        <v>1</v>
      </c>
      <c r="K54" s="20"/>
      <c r="L54" s="20"/>
      <c r="M54" s="19">
        <f t="shared" si="4"/>
        <v>1</v>
      </c>
      <c r="N54" s="21"/>
      <c r="O54" s="21"/>
      <c r="P54" s="21">
        <v>150</v>
      </c>
      <c r="Q54" s="21">
        <f t="shared" si="1"/>
        <v>150</v>
      </c>
      <c r="R54" s="19" t="s">
        <v>24</v>
      </c>
      <c r="S54" s="22"/>
      <c r="T54" s="20"/>
      <c r="U54" s="19"/>
      <c r="V54" s="13" t="s">
        <v>27</v>
      </c>
      <c r="W54" s="19"/>
    </row>
    <row r="55" spans="1:23" ht="37.5">
      <c r="A55" s="19">
        <v>51</v>
      </c>
      <c r="B55" s="25" t="s">
        <v>51</v>
      </c>
      <c r="C55" s="48"/>
      <c r="D55" s="35"/>
      <c r="E55" s="9" t="s">
        <v>40</v>
      </c>
      <c r="F55" s="9" t="s">
        <v>155</v>
      </c>
      <c r="G55" s="9" t="s">
        <v>119</v>
      </c>
      <c r="H55" s="23" t="s">
        <v>23</v>
      </c>
      <c r="I55" s="28">
        <v>1</v>
      </c>
      <c r="J55" s="19">
        <v>1</v>
      </c>
      <c r="K55" s="20"/>
      <c r="L55" s="20"/>
      <c r="M55" s="19">
        <f t="shared" si="4"/>
        <v>1</v>
      </c>
      <c r="N55" s="21"/>
      <c r="O55" s="21"/>
      <c r="P55" s="21">
        <v>20000</v>
      </c>
      <c r="Q55" s="21">
        <f t="shared" si="1"/>
        <v>20000</v>
      </c>
      <c r="R55" s="19" t="s">
        <v>24</v>
      </c>
      <c r="S55" s="22"/>
      <c r="T55" s="20"/>
      <c r="U55" s="19"/>
      <c r="V55" s="13" t="s">
        <v>27</v>
      </c>
      <c r="W55" s="19"/>
    </row>
    <row r="56" spans="1:23" ht="28.5">
      <c r="A56" s="19">
        <v>52</v>
      </c>
      <c r="B56" s="25" t="s">
        <v>51</v>
      </c>
      <c r="C56" s="48"/>
      <c r="D56" s="27" t="s">
        <v>38</v>
      </c>
      <c r="E56" s="9" t="s">
        <v>120</v>
      </c>
      <c r="F56" s="9" t="s">
        <v>39</v>
      </c>
      <c r="G56" s="9" t="s">
        <v>121</v>
      </c>
      <c r="H56" s="19" t="s">
        <v>23</v>
      </c>
      <c r="I56" s="19">
        <v>1</v>
      </c>
      <c r="J56" s="19">
        <v>1</v>
      </c>
      <c r="K56" s="20"/>
      <c r="L56" s="20"/>
      <c r="M56" s="19">
        <f t="shared" si="4"/>
        <v>1</v>
      </c>
      <c r="N56" s="21"/>
      <c r="O56" s="21"/>
      <c r="P56" s="21">
        <v>700</v>
      </c>
      <c r="Q56" s="21">
        <f t="shared" si="1"/>
        <v>700</v>
      </c>
      <c r="R56" s="19" t="s">
        <v>24</v>
      </c>
      <c r="S56" s="22"/>
      <c r="T56" s="20"/>
      <c r="U56" s="19"/>
      <c r="V56" s="13" t="s">
        <v>27</v>
      </c>
      <c r="W56" s="19"/>
    </row>
    <row r="57" spans="1:23" ht="28.5">
      <c r="A57" s="19">
        <v>53</v>
      </c>
      <c r="B57" s="25" t="s">
        <v>51</v>
      </c>
      <c r="C57" s="48"/>
      <c r="D57" s="27" t="s">
        <v>122</v>
      </c>
      <c r="E57" s="7" t="s">
        <v>123</v>
      </c>
      <c r="F57" s="9" t="s">
        <v>124</v>
      </c>
      <c r="G57" s="9" t="s">
        <v>125</v>
      </c>
      <c r="H57" s="19" t="s">
        <v>23</v>
      </c>
      <c r="I57" s="19">
        <v>1</v>
      </c>
      <c r="J57" s="19">
        <v>1</v>
      </c>
      <c r="K57" s="20"/>
      <c r="L57" s="20"/>
      <c r="M57" s="19">
        <f t="shared" si="4"/>
        <v>1</v>
      </c>
      <c r="N57" s="21"/>
      <c r="O57" s="21"/>
      <c r="P57" s="21">
        <v>800</v>
      </c>
      <c r="Q57" s="21">
        <f t="shared" si="1"/>
        <v>800</v>
      </c>
      <c r="R57" s="19" t="s">
        <v>24</v>
      </c>
      <c r="S57" s="22"/>
      <c r="T57" s="20"/>
      <c r="U57" s="19"/>
      <c r="V57" s="13" t="s">
        <v>27</v>
      </c>
      <c r="W57" s="19"/>
    </row>
    <row r="58" spans="1:23" ht="28.5">
      <c r="A58" s="19">
        <v>54</v>
      </c>
      <c r="B58" s="25" t="s">
        <v>51</v>
      </c>
      <c r="C58" s="48"/>
      <c r="D58" s="27" t="s">
        <v>126</v>
      </c>
      <c r="E58" s="7" t="s">
        <v>127</v>
      </c>
      <c r="F58" s="9" t="s">
        <v>128</v>
      </c>
      <c r="G58" s="9" t="s">
        <v>125</v>
      </c>
      <c r="H58" s="19" t="s">
        <v>23</v>
      </c>
      <c r="I58" s="19">
        <v>1</v>
      </c>
      <c r="J58" s="19">
        <v>1</v>
      </c>
      <c r="K58" s="20"/>
      <c r="L58" s="20"/>
      <c r="M58" s="19">
        <f t="shared" si="4"/>
        <v>1</v>
      </c>
      <c r="N58" s="21"/>
      <c r="O58" s="21"/>
      <c r="P58" s="21">
        <v>800</v>
      </c>
      <c r="Q58" s="21">
        <f t="shared" si="1"/>
        <v>800</v>
      </c>
      <c r="R58" s="19" t="s">
        <v>24</v>
      </c>
      <c r="S58" s="22"/>
      <c r="T58" s="20"/>
      <c r="U58" s="19"/>
      <c r="V58" s="13" t="s">
        <v>27</v>
      </c>
      <c r="W58" s="19"/>
    </row>
    <row r="59" spans="1:23" ht="28.5">
      <c r="A59" s="19">
        <v>55</v>
      </c>
      <c r="B59" s="25" t="s">
        <v>51</v>
      </c>
      <c r="C59" s="48"/>
      <c r="D59" s="27" t="s">
        <v>140</v>
      </c>
      <c r="E59" s="9" t="s">
        <v>141</v>
      </c>
      <c r="F59" s="9" t="s">
        <v>142</v>
      </c>
      <c r="G59" s="9" t="s">
        <v>143</v>
      </c>
      <c r="H59" s="29" t="s">
        <v>23</v>
      </c>
      <c r="I59" s="30">
        <v>2</v>
      </c>
      <c r="J59" s="19">
        <v>1</v>
      </c>
      <c r="K59" s="31"/>
      <c r="L59" s="31"/>
      <c r="M59" s="29">
        <f t="shared" si="4"/>
        <v>2</v>
      </c>
      <c r="N59" s="29"/>
      <c r="O59" s="29"/>
      <c r="P59" s="21">
        <v>45</v>
      </c>
      <c r="Q59" s="21">
        <f t="shared" si="1"/>
        <v>90</v>
      </c>
      <c r="R59" s="19" t="s">
        <v>24</v>
      </c>
      <c r="S59" s="22"/>
      <c r="T59" s="20"/>
      <c r="U59" s="19"/>
      <c r="V59" s="13" t="s">
        <v>27</v>
      </c>
      <c r="W59" s="31"/>
    </row>
    <row r="60" spans="1:23" ht="18">
      <c r="M60" s="26"/>
      <c r="N60" s="26"/>
      <c r="O60" s="26"/>
      <c r="P60" s="26"/>
      <c r="Q60" s="26"/>
    </row>
    <row r="61" spans="1:23">
      <c r="N61"/>
      <c r="O61"/>
      <c r="P61"/>
      <c r="Q61"/>
    </row>
    <row r="62" spans="1:23">
      <c r="N62"/>
      <c r="O62"/>
      <c r="P62"/>
      <c r="Q62"/>
    </row>
    <row r="63" spans="1:23" ht="27.75">
      <c r="M63" s="46" t="s">
        <v>154</v>
      </c>
      <c r="N63"/>
      <c r="O63"/>
      <c r="P63" s="47">
        <f>SUM(Q5:Q59)</f>
        <v>138310</v>
      </c>
      <c r="Q63"/>
    </row>
    <row r="64" spans="1:23">
      <c r="N64"/>
      <c r="O64"/>
      <c r="P64"/>
      <c r="Q64"/>
    </row>
    <row r="65" spans="14:17">
      <c r="N65"/>
      <c r="O65"/>
      <c r="P65"/>
      <c r="Q65"/>
    </row>
    <row r="66" spans="14:17">
      <c r="N66"/>
      <c r="O66"/>
      <c r="P66"/>
      <c r="Q66"/>
    </row>
    <row r="67" spans="14:17">
      <c r="N67"/>
      <c r="O67"/>
      <c r="P67"/>
      <c r="Q67"/>
    </row>
    <row r="68" spans="14:17">
      <c r="N68"/>
      <c r="O68"/>
      <c r="P68"/>
      <c r="Q68"/>
    </row>
    <row r="69" spans="14:17">
      <c r="N69"/>
      <c r="O69"/>
      <c r="P69"/>
      <c r="Q69"/>
    </row>
    <row r="70" spans="14:17">
      <c r="N70"/>
      <c r="O70"/>
      <c r="P70"/>
      <c r="Q70"/>
    </row>
    <row r="71" spans="14:17">
      <c r="N71"/>
      <c r="O71"/>
      <c r="P71"/>
      <c r="Q71"/>
    </row>
    <row r="72" spans="14:17">
      <c r="N72"/>
      <c r="O72"/>
      <c r="P72"/>
      <c r="Q72"/>
    </row>
    <row r="73" spans="14:17">
      <c r="N73"/>
      <c r="O73"/>
      <c r="P73"/>
      <c r="Q73"/>
    </row>
    <row r="74" spans="14:17">
      <c r="N74"/>
      <c r="O74"/>
      <c r="P74"/>
      <c r="Q74"/>
    </row>
    <row r="75" spans="14:17">
      <c r="N75"/>
      <c r="O75"/>
      <c r="P75"/>
      <c r="Q75"/>
    </row>
    <row r="76" spans="14:17">
      <c r="N76"/>
      <c r="O76"/>
      <c r="P76"/>
      <c r="Q76"/>
    </row>
    <row r="77" spans="14:17">
      <c r="N77"/>
      <c r="O77"/>
      <c r="P77"/>
      <c r="Q77"/>
    </row>
    <row r="78" spans="14:17">
      <c r="N78"/>
      <c r="O78"/>
      <c r="P78"/>
      <c r="Q78"/>
    </row>
    <row r="79" spans="14:17">
      <c r="N79"/>
      <c r="O79"/>
      <c r="P79"/>
      <c r="Q79"/>
    </row>
    <row r="80" spans="14:17">
      <c r="N80"/>
      <c r="O80"/>
      <c r="P80"/>
      <c r="Q80"/>
    </row>
    <row r="81" spans="14:17">
      <c r="N81"/>
      <c r="O81"/>
      <c r="P81"/>
      <c r="Q81"/>
    </row>
    <row r="82" spans="14:17">
      <c r="N82"/>
      <c r="O82"/>
      <c r="P82"/>
      <c r="Q82"/>
    </row>
    <row r="83" spans="14:17">
      <c r="N83"/>
      <c r="O83"/>
      <c r="P83"/>
      <c r="Q83"/>
    </row>
    <row r="84" spans="14:17">
      <c r="N84"/>
      <c r="O84"/>
      <c r="P84"/>
      <c r="Q84"/>
    </row>
    <row r="85" spans="14:17">
      <c r="N85"/>
      <c r="O85"/>
      <c r="P85"/>
      <c r="Q85"/>
    </row>
    <row r="86" spans="14:17">
      <c r="N86"/>
      <c r="O86"/>
      <c r="P86"/>
      <c r="Q86"/>
    </row>
    <row r="87" spans="14:17">
      <c r="N87"/>
      <c r="O87"/>
      <c r="P87"/>
      <c r="Q87"/>
    </row>
    <row r="88" spans="14:17">
      <c r="N88"/>
      <c r="O88"/>
      <c r="P88"/>
      <c r="Q88"/>
    </row>
    <row r="89" spans="14:17">
      <c r="N89"/>
      <c r="O89"/>
      <c r="P89"/>
      <c r="Q89"/>
    </row>
    <row r="90" spans="14:17">
      <c r="N90"/>
      <c r="O90"/>
      <c r="P90"/>
      <c r="Q90"/>
    </row>
    <row r="91" spans="14:17">
      <c r="N91"/>
      <c r="O91"/>
      <c r="P91"/>
      <c r="Q91"/>
    </row>
    <row r="92" spans="14:17">
      <c r="N92"/>
      <c r="O92"/>
      <c r="P92"/>
      <c r="Q92"/>
    </row>
    <row r="93" spans="14:17">
      <c r="N93"/>
      <c r="O93"/>
      <c r="P93"/>
      <c r="Q93"/>
    </row>
    <row r="94" spans="14:17">
      <c r="N94"/>
      <c r="O94"/>
      <c r="P94"/>
      <c r="Q94"/>
    </row>
    <row r="95" spans="14:17">
      <c r="N95"/>
      <c r="O95"/>
      <c r="P95"/>
      <c r="Q95"/>
    </row>
    <row r="96" spans="14:17">
      <c r="N96"/>
      <c r="O96"/>
      <c r="P96"/>
      <c r="Q96"/>
    </row>
    <row r="97" spans="14:17">
      <c r="N97"/>
      <c r="O97"/>
      <c r="P97"/>
      <c r="Q97"/>
    </row>
    <row r="98" spans="14:17">
      <c r="N98"/>
      <c r="O98"/>
      <c r="P98"/>
      <c r="Q98"/>
    </row>
    <row r="99" spans="14:17">
      <c r="N99"/>
      <c r="O99"/>
      <c r="P99"/>
      <c r="Q99"/>
    </row>
    <row r="100" spans="14:17">
      <c r="N100"/>
      <c r="O100"/>
      <c r="P100"/>
      <c r="Q100"/>
    </row>
    <row r="101" spans="14:17">
      <c r="N101"/>
      <c r="O101"/>
      <c r="P101"/>
      <c r="Q101"/>
    </row>
    <row r="102" spans="14:17">
      <c r="N102"/>
      <c r="O102"/>
      <c r="P102"/>
      <c r="Q102"/>
    </row>
    <row r="103" spans="14:17">
      <c r="N103"/>
      <c r="O103"/>
      <c r="P103"/>
      <c r="Q103"/>
    </row>
    <row r="104" spans="14:17">
      <c r="N104"/>
      <c r="O104"/>
      <c r="P104"/>
      <c r="Q104"/>
    </row>
    <row r="105" spans="14:17">
      <c r="N105"/>
      <c r="O105"/>
      <c r="P105"/>
      <c r="Q105"/>
    </row>
    <row r="106" spans="14:17">
      <c r="N106"/>
      <c r="O106"/>
      <c r="P106"/>
      <c r="Q106"/>
    </row>
    <row r="107" spans="14:17">
      <c r="N107"/>
      <c r="O107"/>
      <c r="P107"/>
      <c r="Q107"/>
    </row>
    <row r="108" spans="14:17">
      <c r="N108"/>
      <c r="O108"/>
      <c r="P108"/>
      <c r="Q108"/>
    </row>
    <row r="109" spans="14:17">
      <c r="N109"/>
      <c r="O109"/>
      <c r="P109"/>
      <c r="Q109"/>
    </row>
    <row r="110" spans="14:17">
      <c r="N110"/>
      <c r="O110"/>
      <c r="P110"/>
      <c r="Q110"/>
    </row>
    <row r="111" spans="14:17">
      <c r="N111"/>
      <c r="O111"/>
      <c r="P111"/>
      <c r="Q111"/>
    </row>
    <row r="112" spans="14:17">
      <c r="N112"/>
      <c r="O112"/>
      <c r="P112"/>
      <c r="Q112"/>
    </row>
    <row r="113" spans="14:17">
      <c r="N113"/>
      <c r="O113"/>
      <c r="P113"/>
      <c r="Q113"/>
    </row>
    <row r="114" spans="14:17">
      <c r="N114"/>
      <c r="O114"/>
      <c r="P114"/>
      <c r="Q114"/>
    </row>
    <row r="115" spans="14:17">
      <c r="N115"/>
      <c r="O115"/>
      <c r="P115"/>
      <c r="Q115"/>
    </row>
    <row r="116" spans="14:17">
      <c r="N116"/>
      <c r="O116"/>
      <c r="P116"/>
      <c r="Q116"/>
    </row>
    <row r="117" spans="14:17">
      <c r="N117"/>
      <c r="O117"/>
      <c r="P117"/>
      <c r="Q117"/>
    </row>
    <row r="118" spans="14:17">
      <c r="N118"/>
      <c r="O118"/>
      <c r="P118"/>
      <c r="Q118"/>
    </row>
    <row r="119" spans="14:17">
      <c r="N119"/>
      <c r="O119"/>
      <c r="P119"/>
      <c r="Q119"/>
    </row>
    <row r="120" spans="14:17">
      <c r="N120"/>
      <c r="O120"/>
      <c r="P120"/>
      <c r="Q120"/>
    </row>
    <row r="121" spans="14:17">
      <c r="N121"/>
      <c r="O121"/>
      <c r="P121"/>
      <c r="Q121"/>
    </row>
    <row r="122" spans="14:17">
      <c r="N122"/>
      <c r="O122"/>
      <c r="P122"/>
      <c r="Q122"/>
    </row>
    <row r="123" spans="14:17">
      <c r="N123"/>
      <c r="O123"/>
      <c r="P123"/>
      <c r="Q123"/>
    </row>
    <row r="124" spans="14:17">
      <c r="N124"/>
      <c r="O124"/>
      <c r="P124"/>
      <c r="Q124"/>
    </row>
    <row r="125" spans="14:17">
      <c r="N125"/>
      <c r="O125"/>
      <c r="P125"/>
      <c r="Q125"/>
    </row>
    <row r="126" spans="14:17">
      <c r="N126"/>
      <c r="O126"/>
      <c r="P126"/>
      <c r="Q126"/>
    </row>
    <row r="127" spans="14:17">
      <c r="N127"/>
      <c r="O127"/>
      <c r="P127"/>
      <c r="Q127"/>
    </row>
    <row r="128" spans="14:17">
      <c r="N128"/>
      <c r="O128"/>
      <c r="P128"/>
      <c r="Q128"/>
    </row>
    <row r="129" spans="14:17">
      <c r="N129"/>
      <c r="O129"/>
      <c r="P129"/>
      <c r="Q129"/>
    </row>
    <row r="130" spans="14:17">
      <c r="N130"/>
      <c r="O130"/>
      <c r="P130"/>
      <c r="Q130"/>
    </row>
    <row r="131" spans="14:17">
      <c r="N131"/>
      <c r="O131"/>
      <c r="P131"/>
      <c r="Q131"/>
    </row>
    <row r="132" spans="14:17">
      <c r="N132"/>
      <c r="O132"/>
      <c r="P132"/>
      <c r="Q132"/>
    </row>
    <row r="133" spans="14:17">
      <c r="N133"/>
      <c r="O133"/>
      <c r="P133"/>
      <c r="Q133"/>
    </row>
    <row r="134" spans="14:17">
      <c r="N134"/>
      <c r="O134"/>
      <c r="P134"/>
      <c r="Q134"/>
    </row>
    <row r="135" spans="14:17">
      <c r="N135"/>
      <c r="O135"/>
      <c r="P135"/>
      <c r="Q135"/>
    </row>
    <row r="136" spans="14:17">
      <c r="N136"/>
      <c r="O136"/>
      <c r="P136"/>
      <c r="Q136"/>
    </row>
    <row r="137" spans="14:17">
      <c r="N137"/>
      <c r="O137"/>
      <c r="P137"/>
      <c r="Q137"/>
    </row>
    <row r="138" spans="14:17">
      <c r="N138"/>
      <c r="O138"/>
      <c r="P138"/>
      <c r="Q138"/>
    </row>
    <row r="139" spans="14:17">
      <c r="N139"/>
      <c r="O139"/>
      <c r="P139"/>
      <c r="Q139"/>
    </row>
    <row r="140" spans="14:17">
      <c r="N140"/>
      <c r="O140"/>
      <c r="P140"/>
      <c r="Q140"/>
    </row>
    <row r="141" spans="14:17">
      <c r="N141"/>
      <c r="O141"/>
      <c r="P141"/>
      <c r="Q141"/>
    </row>
    <row r="142" spans="14:17">
      <c r="N142"/>
      <c r="O142"/>
      <c r="P142"/>
      <c r="Q142"/>
    </row>
    <row r="143" spans="14:17">
      <c r="N143"/>
      <c r="O143"/>
      <c r="P143"/>
      <c r="Q143"/>
    </row>
    <row r="144" spans="14:17">
      <c r="N144"/>
      <c r="O144"/>
      <c r="P144"/>
      <c r="Q144"/>
    </row>
    <row r="145" spans="14:17">
      <c r="N145"/>
      <c r="O145"/>
      <c r="P145"/>
      <c r="Q145"/>
    </row>
    <row r="146" spans="14:17">
      <c r="N146"/>
      <c r="O146"/>
      <c r="P146"/>
      <c r="Q146"/>
    </row>
    <row r="147" spans="14:17">
      <c r="N147"/>
      <c r="O147"/>
      <c r="P147"/>
      <c r="Q147"/>
    </row>
    <row r="148" spans="14:17">
      <c r="N148"/>
      <c r="O148"/>
      <c r="P148"/>
      <c r="Q148"/>
    </row>
    <row r="149" spans="14:17">
      <c r="N149"/>
      <c r="O149"/>
      <c r="P149"/>
      <c r="Q149"/>
    </row>
    <row r="150" spans="14:17">
      <c r="N150"/>
      <c r="O150"/>
      <c r="P150"/>
      <c r="Q150"/>
    </row>
    <row r="151" spans="14:17">
      <c r="N151"/>
      <c r="O151"/>
      <c r="P151"/>
      <c r="Q151"/>
    </row>
    <row r="152" spans="14:17">
      <c r="N152"/>
      <c r="O152"/>
      <c r="P152"/>
      <c r="Q152"/>
    </row>
    <row r="153" spans="14:17">
      <c r="N153"/>
      <c r="O153"/>
      <c r="P153"/>
      <c r="Q153"/>
    </row>
    <row r="154" spans="14:17">
      <c r="N154"/>
      <c r="O154"/>
      <c r="P154"/>
      <c r="Q154"/>
    </row>
    <row r="155" spans="14:17">
      <c r="N155"/>
      <c r="O155"/>
      <c r="P155"/>
      <c r="Q155"/>
    </row>
    <row r="156" spans="14:17">
      <c r="N156"/>
      <c r="O156"/>
      <c r="P156"/>
      <c r="Q156"/>
    </row>
    <row r="157" spans="14:17">
      <c r="N157"/>
      <c r="O157"/>
      <c r="P157"/>
      <c r="Q157"/>
    </row>
    <row r="158" spans="14:17">
      <c r="N158"/>
      <c r="O158"/>
      <c r="P158"/>
      <c r="Q158"/>
    </row>
    <row r="159" spans="14:17">
      <c r="N159"/>
      <c r="O159"/>
      <c r="P159"/>
      <c r="Q159"/>
    </row>
    <row r="160" spans="14:17">
      <c r="N160"/>
      <c r="O160"/>
      <c r="P160"/>
      <c r="Q160"/>
    </row>
    <row r="161" spans="14:17">
      <c r="N161"/>
      <c r="O161"/>
      <c r="P161"/>
      <c r="Q161"/>
    </row>
    <row r="162" spans="14:17">
      <c r="N162"/>
      <c r="O162"/>
      <c r="P162"/>
      <c r="Q162"/>
    </row>
    <row r="163" spans="14:17">
      <c r="N163"/>
      <c r="O163"/>
      <c r="P163"/>
      <c r="Q163"/>
    </row>
    <row r="164" spans="14:17">
      <c r="N164"/>
      <c r="O164"/>
      <c r="P164"/>
      <c r="Q164"/>
    </row>
    <row r="165" spans="14:17">
      <c r="N165"/>
      <c r="O165"/>
      <c r="P165"/>
      <c r="Q165"/>
    </row>
    <row r="166" spans="14:17">
      <c r="N166"/>
      <c r="O166"/>
      <c r="P166"/>
      <c r="Q166"/>
    </row>
    <row r="167" spans="14:17">
      <c r="N167"/>
      <c r="O167"/>
      <c r="P167"/>
      <c r="Q167"/>
    </row>
    <row r="168" spans="14:17">
      <c r="N168"/>
      <c r="O168"/>
      <c r="P168"/>
      <c r="Q168"/>
    </row>
    <row r="169" spans="14:17">
      <c r="N169"/>
      <c r="O169"/>
      <c r="P169"/>
      <c r="Q169"/>
    </row>
    <row r="170" spans="14:17">
      <c r="N170"/>
      <c r="O170"/>
      <c r="P170"/>
      <c r="Q170"/>
    </row>
    <row r="171" spans="14:17">
      <c r="N171"/>
      <c r="O171"/>
      <c r="P171"/>
      <c r="Q171"/>
    </row>
    <row r="172" spans="14:17">
      <c r="N172"/>
      <c r="O172"/>
      <c r="P172"/>
      <c r="Q172"/>
    </row>
    <row r="173" spans="14:17">
      <c r="N173"/>
      <c r="O173"/>
      <c r="P173"/>
      <c r="Q173"/>
    </row>
    <row r="174" spans="14:17">
      <c r="N174"/>
      <c r="O174"/>
      <c r="P174"/>
      <c r="Q174"/>
    </row>
    <row r="175" spans="14:17">
      <c r="N175"/>
      <c r="O175"/>
      <c r="P175"/>
      <c r="Q175"/>
    </row>
    <row r="176" spans="14:17">
      <c r="N176"/>
      <c r="O176"/>
      <c r="P176"/>
      <c r="Q176"/>
    </row>
    <row r="177" spans="14:17">
      <c r="N177"/>
      <c r="O177"/>
      <c r="P177"/>
      <c r="Q177"/>
    </row>
    <row r="178" spans="14:17">
      <c r="N178"/>
      <c r="O178"/>
      <c r="P178"/>
      <c r="Q178"/>
    </row>
    <row r="179" spans="14:17">
      <c r="N179"/>
      <c r="O179"/>
      <c r="P179"/>
      <c r="Q179"/>
    </row>
    <row r="180" spans="14:17">
      <c r="N180"/>
      <c r="O180"/>
      <c r="P180"/>
      <c r="Q180"/>
    </row>
    <row r="181" spans="14:17">
      <c r="N181"/>
      <c r="O181"/>
      <c r="P181"/>
      <c r="Q181"/>
    </row>
    <row r="182" spans="14:17">
      <c r="N182"/>
      <c r="O182"/>
      <c r="P182"/>
      <c r="Q182"/>
    </row>
    <row r="183" spans="14:17">
      <c r="N183"/>
      <c r="O183"/>
      <c r="P183"/>
      <c r="Q183"/>
    </row>
    <row r="184" spans="14:17">
      <c r="N184"/>
      <c r="O184"/>
      <c r="P184"/>
      <c r="Q184"/>
    </row>
    <row r="185" spans="14:17">
      <c r="N185"/>
      <c r="O185"/>
      <c r="P185"/>
      <c r="Q185"/>
    </row>
    <row r="186" spans="14:17">
      <c r="N186"/>
      <c r="O186"/>
      <c r="P186"/>
      <c r="Q186"/>
    </row>
    <row r="187" spans="14:17">
      <c r="N187"/>
      <c r="O187"/>
      <c r="P187"/>
      <c r="Q187"/>
    </row>
    <row r="188" spans="14:17">
      <c r="N188"/>
      <c r="O188"/>
      <c r="P188"/>
      <c r="Q188"/>
    </row>
    <row r="189" spans="14:17">
      <c r="N189"/>
      <c r="O189"/>
      <c r="P189"/>
      <c r="Q189"/>
    </row>
    <row r="190" spans="14:17">
      <c r="N190"/>
      <c r="O190"/>
      <c r="P190"/>
      <c r="Q190"/>
    </row>
    <row r="191" spans="14:17">
      <c r="N191"/>
      <c r="O191"/>
      <c r="P191"/>
      <c r="Q191"/>
    </row>
    <row r="192" spans="14:17">
      <c r="N192"/>
      <c r="O192"/>
      <c r="P192"/>
      <c r="Q192"/>
    </row>
    <row r="193" spans="14:17">
      <c r="N193"/>
      <c r="O193"/>
      <c r="P193"/>
      <c r="Q193"/>
    </row>
    <row r="194" spans="14:17">
      <c r="N194"/>
      <c r="O194"/>
      <c r="P194"/>
      <c r="Q194"/>
    </row>
    <row r="195" spans="14:17">
      <c r="N195"/>
      <c r="O195"/>
      <c r="P195"/>
      <c r="Q195"/>
    </row>
    <row r="196" spans="14:17">
      <c r="N196"/>
      <c r="O196"/>
      <c r="P196"/>
      <c r="Q196"/>
    </row>
    <row r="197" spans="14:17">
      <c r="N197"/>
      <c r="O197"/>
      <c r="P197"/>
      <c r="Q197"/>
    </row>
    <row r="198" spans="14:17">
      <c r="N198"/>
      <c r="O198"/>
      <c r="P198"/>
      <c r="Q198"/>
    </row>
    <row r="199" spans="14:17">
      <c r="N199"/>
      <c r="O199"/>
      <c r="P199"/>
      <c r="Q199"/>
    </row>
    <row r="200" spans="14:17">
      <c r="N200"/>
      <c r="O200"/>
      <c r="P200"/>
      <c r="Q200"/>
    </row>
    <row r="201" spans="14:17">
      <c r="N201"/>
      <c r="O201"/>
      <c r="P201"/>
      <c r="Q201"/>
    </row>
    <row r="202" spans="14:17">
      <c r="N202"/>
      <c r="O202"/>
      <c r="P202"/>
      <c r="Q202"/>
    </row>
    <row r="203" spans="14:17">
      <c r="N203"/>
      <c r="O203"/>
      <c r="P203"/>
      <c r="Q203"/>
    </row>
    <row r="204" spans="14:17">
      <c r="N204"/>
      <c r="O204"/>
      <c r="P204"/>
      <c r="Q204"/>
    </row>
    <row r="205" spans="14:17">
      <c r="N205"/>
      <c r="O205"/>
      <c r="P205"/>
      <c r="Q205"/>
    </row>
    <row r="206" spans="14:17">
      <c r="N206"/>
      <c r="O206"/>
      <c r="P206"/>
      <c r="Q206"/>
    </row>
    <row r="207" spans="14:17">
      <c r="N207"/>
      <c r="O207"/>
      <c r="P207"/>
      <c r="Q207"/>
    </row>
    <row r="208" spans="14:17">
      <c r="N208"/>
      <c r="O208"/>
      <c r="P208"/>
      <c r="Q208"/>
    </row>
    <row r="209" spans="14:17">
      <c r="N209"/>
      <c r="O209"/>
      <c r="P209"/>
      <c r="Q209"/>
    </row>
    <row r="210" spans="14:17">
      <c r="N210"/>
      <c r="O210"/>
      <c r="P210"/>
      <c r="Q210"/>
    </row>
    <row r="211" spans="14:17">
      <c r="N211"/>
      <c r="O211"/>
      <c r="P211"/>
      <c r="Q211"/>
    </row>
    <row r="212" spans="14:17">
      <c r="N212"/>
      <c r="O212"/>
      <c r="P212"/>
      <c r="Q212"/>
    </row>
    <row r="213" spans="14:17">
      <c r="N213"/>
      <c r="O213"/>
      <c r="P213"/>
      <c r="Q213"/>
    </row>
    <row r="214" spans="14:17">
      <c r="N214"/>
      <c r="O214"/>
      <c r="P214"/>
      <c r="Q214"/>
    </row>
    <row r="215" spans="14:17">
      <c r="N215"/>
      <c r="O215"/>
      <c r="P215"/>
      <c r="Q215"/>
    </row>
    <row r="216" spans="14:17">
      <c r="N216"/>
      <c r="O216"/>
      <c r="P216"/>
      <c r="Q216"/>
    </row>
    <row r="217" spans="14:17">
      <c r="N217"/>
      <c r="O217"/>
      <c r="P217"/>
      <c r="Q217"/>
    </row>
    <row r="218" spans="14:17">
      <c r="N218"/>
      <c r="O218"/>
      <c r="P218"/>
      <c r="Q218"/>
    </row>
    <row r="219" spans="14:17">
      <c r="N219"/>
      <c r="O219"/>
      <c r="P219"/>
      <c r="Q219"/>
    </row>
    <row r="220" spans="14:17">
      <c r="N220"/>
      <c r="O220"/>
      <c r="P220"/>
      <c r="Q220"/>
    </row>
    <row r="221" spans="14:17">
      <c r="N221"/>
      <c r="O221"/>
      <c r="P221"/>
      <c r="Q221"/>
    </row>
    <row r="222" spans="14:17">
      <c r="N222"/>
      <c r="O222"/>
      <c r="P222"/>
      <c r="Q222"/>
    </row>
    <row r="223" spans="14:17">
      <c r="N223"/>
      <c r="O223"/>
      <c r="P223"/>
      <c r="Q223"/>
    </row>
    <row r="224" spans="14:17">
      <c r="N224"/>
      <c r="O224"/>
      <c r="P224"/>
      <c r="Q224"/>
    </row>
    <row r="225" spans="14:17">
      <c r="N225"/>
      <c r="O225"/>
      <c r="P225"/>
      <c r="Q225"/>
    </row>
    <row r="226" spans="14:17">
      <c r="N226"/>
      <c r="O226"/>
      <c r="P226"/>
      <c r="Q226"/>
    </row>
    <row r="227" spans="14:17">
      <c r="N227"/>
      <c r="O227"/>
      <c r="P227"/>
      <c r="Q227"/>
    </row>
    <row r="228" spans="14:17">
      <c r="N228"/>
      <c r="O228"/>
      <c r="P228"/>
      <c r="Q228"/>
    </row>
    <row r="229" spans="14:17">
      <c r="N229"/>
      <c r="O229"/>
      <c r="P229"/>
      <c r="Q229"/>
    </row>
    <row r="230" spans="14:17">
      <c r="N230"/>
      <c r="O230"/>
      <c r="P230"/>
      <c r="Q230"/>
    </row>
    <row r="231" spans="14:17">
      <c r="N231"/>
      <c r="O231"/>
      <c r="P231"/>
      <c r="Q231"/>
    </row>
    <row r="232" spans="14:17">
      <c r="N232"/>
      <c r="O232"/>
      <c r="P232"/>
      <c r="Q232"/>
    </row>
    <row r="233" spans="14:17">
      <c r="N233"/>
      <c r="O233"/>
      <c r="P233"/>
      <c r="Q233"/>
    </row>
    <row r="234" spans="14:17">
      <c r="N234"/>
      <c r="O234"/>
      <c r="P234"/>
      <c r="Q234"/>
    </row>
    <row r="235" spans="14:17">
      <c r="N235"/>
      <c r="O235"/>
      <c r="P235"/>
      <c r="Q235"/>
    </row>
    <row r="236" spans="14:17">
      <c r="N236"/>
      <c r="O236"/>
      <c r="P236"/>
      <c r="Q236"/>
    </row>
    <row r="237" spans="14:17">
      <c r="N237"/>
      <c r="O237"/>
      <c r="P237"/>
      <c r="Q237"/>
    </row>
    <row r="238" spans="14:17">
      <c r="N238"/>
      <c r="O238"/>
      <c r="P238"/>
      <c r="Q238"/>
    </row>
    <row r="239" spans="14:17">
      <c r="N239"/>
      <c r="O239"/>
      <c r="P239"/>
      <c r="Q239"/>
    </row>
    <row r="240" spans="14:17">
      <c r="N240"/>
      <c r="O240"/>
      <c r="P240"/>
      <c r="Q240"/>
    </row>
    <row r="241" spans="14:17">
      <c r="N241"/>
      <c r="O241"/>
      <c r="P241"/>
      <c r="Q241"/>
    </row>
    <row r="242" spans="14:17">
      <c r="N242"/>
      <c r="O242"/>
      <c r="P242"/>
      <c r="Q242"/>
    </row>
    <row r="243" spans="14:17">
      <c r="N243"/>
      <c r="O243"/>
      <c r="P243"/>
      <c r="Q243"/>
    </row>
    <row r="244" spans="14:17">
      <c r="N244"/>
      <c r="O244"/>
      <c r="P244"/>
      <c r="Q244"/>
    </row>
    <row r="245" spans="14:17">
      <c r="N245"/>
      <c r="O245"/>
      <c r="P245"/>
      <c r="Q245"/>
    </row>
    <row r="246" spans="14:17">
      <c r="N246"/>
      <c r="O246"/>
      <c r="P246"/>
      <c r="Q246"/>
    </row>
    <row r="247" spans="14:17">
      <c r="N247"/>
      <c r="O247"/>
      <c r="P247"/>
      <c r="Q247"/>
    </row>
    <row r="248" spans="14:17">
      <c r="N248"/>
      <c r="O248"/>
      <c r="P248"/>
      <c r="Q248"/>
    </row>
    <row r="249" spans="14:17">
      <c r="N249"/>
      <c r="O249"/>
      <c r="P249"/>
      <c r="Q249"/>
    </row>
    <row r="250" spans="14:17">
      <c r="N250"/>
      <c r="O250"/>
      <c r="P250"/>
      <c r="Q250"/>
    </row>
    <row r="251" spans="14:17">
      <c r="N251"/>
      <c r="O251"/>
      <c r="P251"/>
      <c r="Q251"/>
    </row>
    <row r="252" spans="14:17">
      <c r="N252"/>
      <c r="O252"/>
      <c r="P252"/>
      <c r="Q252"/>
    </row>
    <row r="253" spans="14:17">
      <c r="N253"/>
      <c r="O253"/>
      <c r="P253"/>
      <c r="Q253"/>
    </row>
    <row r="254" spans="14:17">
      <c r="N254"/>
      <c r="O254"/>
      <c r="P254"/>
      <c r="Q254"/>
    </row>
    <row r="255" spans="14:17">
      <c r="N255"/>
      <c r="O255"/>
      <c r="P255"/>
      <c r="Q255"/>
    </row>
    <row r="256" spans="14:17">
      <c r="N256"/>
      <c r="O256"/>
      <c r="P256"/>
      <c r="Q256"/>
    </row>
    <row r="257" spans="14:17">
      <c r="N257"/>
      <c r="O257"/>
      <c r="P257"/>
      <c r="Q257"/>
    </row>
    <row r="258" spans="14:17">
      <c r="N258"/>
      <c r="O258"/>
      <c r="P258"/>
      <c r="Q258"/>
    </row>
    <row r="259" spans="14:17">
      <c r="N259"/>
      <c r="O259"/>
      <c r="P259"/>
      <c r="Q259"/>
    </row>
    <row r="260" spans="14:17">
      <c r="N260"/>
      <c r="O260"/>
      <c r="P260"/>
      <c r="Q260"/>
    </row>
    <row r="261" spans="14:17">
      <c r="N261"/>
      <c r="O261"/>
      <c r="P261"/>
      <c r="Q261"/>
    </row>
    <row r="262" spans="14:17">
      <c r="N262"/>
      <c r="O262"/>
      <c r="P262"/>
      <c r="Q262"/>
    </row>
    <row r="263" spans="14:17">
      <c r="N263"/>
      <c r="O263"/>
      <c r="P263"/>
      <c r="Q263"/>
    </row>
    <row r="264" spans="14:17">
      <c r="N264"/>
      <c r="O264"/>
      <c r="P264"/>
      <c r="Q264"/>
    </row>
    <row r="265" spans="14:17">
      <c r="N265"/>
      <c r="O265"/>
      <c r="P265"/>
      <c r="Q265"/>
    </row>
    <row r="266" spans="14:17">
      <c r="N266"/>
      <c r="O266"/>
      <c r="P266"/>
      <c r="Q266"/>
    </row>
    <row r="267" spans="14:17">
      <c r="N267"/>
      <c r="O267"/>
      <c r="P267"/>
      <c r="Q267"/>
    </row>
    <row r="268" spans="14:17">
      <c r="N268"/>
      <c r="O268"/>
      <c r="P268"/>
      <c r="Q268"/>
    </row>
    <row r="269" spans="14:17">
      <c r="N269"/>
      <c r="O269"/>
      <c r="P269"/>
      <c r="Q269"/>
    </row>
    <row r="270" spans="14:17">
      <c r="N270"/>
      <c r="O270"/>
      <c r="P270"/>
      <c r="Q270"/>
    </row>
    <row r="271" spans="14:17">
      <c r="N271"/>
      <c r="O271"/>
      <c r="P271"/>
      <c r="Q271"/>
    </row>
    <row r="272" spans="14:17">
      <c r="N272"/>
      <c r="O272"/>
      <c r="P272"/>
      <c r="Q272"/>
    </row>
    <row r="273" spans="14:17">
      <c r="N273"/>
      <c r="O273"/>
      <c r="P273"/>
      <c r="Q273"/>
    </row>
    <row r="274" spans="14:17">
      <c r="N274"/>
      <c r="O274"/>
      <c r="P274"/>
      <c r="Q274"/>
    </row>
    <row r="275" spans="14:17">
      <c r="N275"/>
      <c r="O275"/>
      <c r="P275"/>
      <c r="Q275"/>
    </row>
    <row r="276" spans="14:17">
      <c r="N276"/>
      <c r="O276"/>
      <c r="P276"/>
      <c r="Q276"/>
    </row>
    <row r="277" spans="14:17">
      <c r="N277"/>
      <c r="O277"/>
      <c r="P277"/>
      <c r="Q277"/>
    </row>
    <row r="278" spans="14:17">
      <c r="N278"/>
      <c r="O278"/>
      <c r="P278"/>
      <c r="Q278"/>
    </row>
    <row r="279" spans="14:17">
      <c r="N279"/>
      <c r="O279"/>
      <c r="P279"/>
      <c r="Q279"/>
    </row>
    <row r="280" spans="14:17">
      <c r="N280"/>
      <c r="O280"/>
      <c r="P280"/>
      <c r="Q280"/>
    </row>
    <row r="281" spans="14:17">
      <c r="N281"/>
      <c r="O281"/>
      <c r="P281"/>
      <c r="Q281"/>
    </row>
    <row r="282" spans="14:17">
      <c r="N282"/>
      <c r="O282"/>
      <c r="P282"/>
      <c r="Q282"/>
    </row>
    <row r="283" spans="14:17">
      <c r="N283"/>
      <c r="O283"/>
      <c r="P283"/>
      <c r="Q283"/>
    </row>
    <row r="284" spans="14:17">
      <c r="N284"/>
      <c r="O284"/>
      <c r="P284"/>
      <c r="Q284"/>
    </row>
    <row r="285" spans="14:17">
      <c r="N285"/>
      <c r="O285"/>
      <c r="P285"/>
      <c r="Q285"/>
    </row>
    <row r="286" spans="14:17">
      <c r="N286"/>
      <c r="O286"/>
      <c r="P286"/>
      <c r="Q286"/>
    </row>
    <row r="287" spans="14:17">
      <c r="N287"/>
      <c r="O287"/>
      <c r="P287"/>
      <c r="Q287"/>
    </row>
    <row r="288" spans="14:17">
      <c r="N288"/>
      <c r="O288"/>
      <c r="P288"/>
      <c r="Q288"/>
    </row>
    <row r="289" spans="14:17">
      <c r="N289"/>
      <c r="O289"/>
      <c r="P289"/>
      <c r="Q289"/>
    </row>
    <row r="290" spans="14:17">
      <c r="N290"/>
      <c r="O290"/>
      <c r="P290"/>
      <c r="Q290"/>
    </row>
    <row r="291" spans="14:17">
      <c r="N291"/>
      <c r="O291"/>
      <c r="P291"/>
      <c r="Q291"/>
    </row>
    <row r="292" spans="14:17">
      <c r="N292"/>
      <c r="O292"/>
      <c r="P292"/>
      <c r="Q292"/>
    </row>
    <row r="293" spans="14:17">
      <c r="N293"/>
      <c r="O293"/>
      <c r="P293"/>
      <c r="Q293"/>
    </row>
    <row r="294" spans="14:17">
      <c r="N294"/>
      <c r="O294"/>
      <c r="P294"/>
      <c r="Q294"/>
    </row>
    <row r="295" spans="14:17">
      <c r="N295"/>
      <c r="O295"/>
      <c r="P295"/>
      <c r="Q295"/>
    </row>
    <row r="296" spans="14:17">
      <c r="N296"/>
      <c r="O296"/>
      <c r="P296"/>
      <c r="Q296"/>
    </row>
    <row r="297" spans="14:17">
      <c r="N297"/>
      <c r="O297"/>
      <c r="P297"/>
      <c r="Q297"/>
    </row>
    <row r="298" spans="14:17">
      <c r="N298"/>
      <c r="O298"/>
      <c r="P298"/>
      <c r="Q298"/>
    </row>
    <row r="299" spans="14:17">
      <c r="N299"/>
      <c r="O299"/>
      <c r="P299"/>
      <c r="Q299"/>
    </row>
    <row r="300" spans="14:17">
      <c r="N300"/>
      <c r="O300"/>
      <c r="P300"/>
      <c r="Q300"/>
    </row>
    <row r="301" spans="14:17">
      <c r="N301"/>
      <c r="O301"/>
      <c r="P301"/>
      <c r="Q301"/>
    </row>
    <row r="302" spans="14:17">
      <c r="N302"/>
      <c r="O302"/>
      <c r="P302"/>
      <c r="Q302"/>
    </row>
    <row r="303" spans="14:17">
      <c r="N303"/>
      <c r="O303"/>
      <c r="P303"/>
      <c r="Q303"/>
    </row>
    <row r="304" spans="14:17">
      <c r="N304"/>
      <c r="O304"/>
      <c r="P304"/>
      <c r="Q304"/>
    </row>
    <row r="305" spans="14:17">
      <c r="N305"/>
      <c r="O305"/>
      <c r="P305"/>
      <c r="Q305"/>
    </row>
    <row r="306" spans="14:17">
      <c r="N306"/>
      <c r="O306"/>
      <c r="P306"/>
      <c r="Q306"/>
    </row>
    <row r="307" spans="14:17">
      <c r="N307"/>
      <c r="O307"/>
      <c r="P307"/>
      <c r="Q307"/>
    </row>
    <row r="308" spans="14:17">
      <c r="N308"/>
      <c r="O308"/>
      <c r="P308"/>
      <c r="Q308"/>
    </row>
    <row r="309" spans="14:17">
      <c r="N309"/>
      <c r="O309"/>
      <c r="P309"/>
      <c r="Q309"/>
    </row>
    <row r="310" spans="14:17">
      <c r="N310"/>
      <c r="O310"/>
      <c r="P310"/>
      <c r="Q310"/>
    </row>
  </sheetData>
  <mergeCells count="12">
    <mergeCell ref="C48:C59"/>
    <mergeCell ref="C40:C47"/>
    <mergeCell ref="C27:C39"/>
    <mergeCell ref="A1:G1"/>
    <mergeCell ref="H1:W1"/>
    <mergeCell ref="A2:V2"/>
    <mergeCell ref="A3:B3"/>
    <mergeCell ref="H3:I3"/>
    <mergeCell ref="N3:O3"/>
    <mergeCell ref="J3:L3"/>
    <mergeCell ref="C5:C16"/>
    <mergeCell ref="C17:C26"/>
  </mergeCells>
  <phoneticPr fontId="9" type="noConversion"/>
  <conditionalFormatting sqref="F6">
    <cfRule type="duplicateValues" dxfId="1" priority="1"/>
  </conditionalFormatting>
  <conditionalFormatting sqref="F28">
    <cfRule type="duplicateValues" dxfId="0" priority="7"/>
  </conditionalFormatting>
  <dataValidations count="2">
    <dataValidation type="list" allowBlank="1" showInputMessage="1" showErrorMessage="1" sqref="B5:B59" xr:uid="{C295A51B-340C-4B93-A0ED-32E8BD22741B}">
      <formula1>"项目未开工,项目已开工,售后项目"</formula1>
    </dataValidation>
    <dataValidation type="list" allowBlank="1" showInputMessage="1" showErrorMessage="1" sqref="V5:V59" xr:uid="{BC07101C-BD25-4925-A4A6-2AFCF33C1353}">
      <formula1>"分批发包,物料损坏,备品（自用）,备品（合同内）,漏下单,客户设变（付费）,客户设变（公司承担）,物料丢失,设计变更"</formula1>
    </dataValidation>
  </dataValidation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谭秀鹏</cp:lastModifiedBy>
  <dcterms:created xsi:type="dcterms:W3CDTF">2022-07-07T03:43:00Z</dcterms:created>
  <dcterms:modified xsi:type="dcterms:W3CDTF">2025-06-16T05:23:29Z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4AABAEF4F3DF4287BD88CA35AB7CDD39</vt:lpwstr>
  </property>
  <property fmtid="{D5CDD505-2E9C-101B-9397-08002B2CF9AE}" pid="3" name="KSOProductBuildVer">
    <vt:lpwstr>2052-11.1.0.14036</vt:lpwstr>
  </property>
</Properties>
</file>